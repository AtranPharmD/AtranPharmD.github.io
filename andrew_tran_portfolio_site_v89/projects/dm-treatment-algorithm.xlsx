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structions" sheetId="1" state="visible" r:id="rId3"/>
    <sheet name="Patient Information" sheetId="2" state="visible" r:id="rId4"/>
    <sheet name="DM Medications" sheetId="3" state="visible" r:id="rId5"/>
    <sheet name="Insulin " sheetId="4" state="visible" r:id="rId6"/>
    <sheet name="SMB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<sst xmlns="http://schemas.openxmlformats.org/spreadsheetml/2006/main" count="292" uniqueCount="276">
  <si>
    <t xml:space="preserve">Diabetes Treatment Algorithm — Instructions</t>
  </si>
  <si>
    <t xml:space="preserve">Read this page before using the tool. Tabs are listed in the order you'll typically use them.</t>
  </si>
  <si>
    <t xml:space="preserve">Instructions for Patient Information Worksheet</t>
  </si>
  <si>
    <t xml:space="preserve">Enter all patient parameters in the fields outlined in red (age, gender, weight, height, serum creatinine).</t>
  </si>
  <si>
    <t xml:space="preserve">Select Yes/No for each Medical History item, including the new Obesity/overweight flag — these drive the preferred-therapy recommendations on the DM Medications tab.</t>
  </si>
  <si>
    <t xml:space="preserve">Calculated values (Ideal/Adjusted Body Weight, BMI, CrCl, eGFR) populate automatically in blue — no need to enter these.</t>
  </si>
  <si>
    <t xml:space="preserve">Instructions for DM Medications Worksheet</t>
  </si>
  <si>
    <t xml:space="preserve">Use the cardiorenal risk / comorbidity table to identify preferred therapy based on the history entered on the Patient Information tab (ASCVD, heart failure, CKD, obesity, MASLD/MASH).</t>
  </si>
  <si>
    <t xml:space="preserve">Select an oral and/or injectable drug of choice from the red dropdown fields; dosing populates automatically in blue.</t>
  </si>
  <si>
    <t xml:space="preserve">Reassess therapy, including the need for hypoglycemia-prone agents, every 3-6 months.</t>
  </si>
  <si>
    <t xml:space="preserve">Instructions for Insulin Worksheet</t>
  </si>
  <si>
    <t xml:space="preserve">Use the initial dosing section to calculate starting insulin doses from patient weight (pulled automatically from Patient Information).</t>
  </si>
  <si>
    <t xml:space="preserve">Use the Adjusting Insulin Regimen section to calculate correction dose and insulin-to-carb ratio from entered blood glucose values.</t>
  </si>
  <si>
    <t xml:space="preserve">Use the Insulin Conversions section when switching between insulin products, including the new once-weekly insulin icodec (Awiqli) calculator.</t>
  </si>
  <si>
    <t xml:space="preserve">Instructions for SMBG Worksheet</t>
  </si>
  <si>
    <t xml:space="preserve">Enter blood glucose readings in the red grid for each meal time (before/after breakfast, lunch, dinner, and bedtime).</t>
  </si>
  <si>
    <t xml:space="preserve">Running averages, hypoglycemia count, and hyperglycemia count calculate automatically — hypoglycemic readings (&lt;70) highlight red, readings over 180 highlight purple.</t>
  </si>
  <si>
    <t xml:space="preserve">Reference current ADA blood sugar goals in the panel on the right, including the 2026 age/frailty-individualized and perioperative targets noted at the bottom of the tab.</t>
  </si>
  <si>
    <t xml:space="preserve">This tool is intended to support, not replace, clinical judgment. Verify all calculated values and dosing recommendations — especially any field marked new for ADA 2026 — before use in patient care.</t>
  </si>
  <si>
    <t xml:space="preserve">Created by</t>
  </si>
  <si>
    <t xml:space="preserve">Andrew Tran, PharmD, BCACP, BCPS</t>
  </si>
  <si>
    <t xml:space="preserve">Version</t>
  </si>
  <si>
    <t xml:space="preserve">2.0 — updated to ADA Standards of Care in Diabetes—2026</t>
  </si>
  <si>
    <t xml:space="preserve">Created on</t>
  </si>
  <si>
    <t xml:space="preserve">06/01/2019</t>
  </si>
  <si>
    <t xml:space="preserve">Last edit</t>
  </si>
  <si>
    <t xml:space="preserve">08/03/2026</t>
  </si>
  <si>
    <t xml:space="preserve">Diabetes Treatment Algorithm — Patient Information</t>
  </si>
  <si>
    <t xml:space="preserve">Red = enter data here     |     Blue = calculated automatically     |     Green = updated for ADA Standards of Care in Diabetes—2026</t>
  </si>
  <si>
    <t xml:space="preserve">Disclaimer: use of this tool does not replace clinical judgment.</t>
  </si>
  <si>
    <t xml:space="preserve">Input Patient Parameters</t>
  </si>
  <si>
    <t xml:space="preserve">Conversions</t>
  </si>
  <si>
    <t xml:space="preserve">Enter</t>
  </si>
  <si>
    <t xml:space="preserve">Conversion</t>
  </si>
  <si>
    <t xml:space="preserve">Patient Age (years)</t>
  </si>
  <si>
    <t xml:space="preserve">Enter lbs to convert to Kg</t>
  </si>
  <si>
    <t xml:space="preserve">Gender (male, female)</t>
  </si>
  <si>
    <t xml:space="preserve">male</t>
  </si>
  <si>
    <t xml:space="preserve">Enter kg to  convert to lbs</t>
  </si>
  <si>
    <t xml:space="preserve">Total Body Weight (kg)</t>
  </si>
  <si>
    <t xml:space="preserve">Enter cm to inches</t>
  </si>
  <si>
    <t xml:space="preserve">Height (in)</t>
  </si>
  <si>
    <t xml:space="preserve">Enter inches to cm</t>
  </si>
  <si>
    <t xml:space="preserve">Ideal Body Weight (kg)</t>
  </si>
  <si>
    <t xml:space="preserve">Adjusted Body Weight (kg)</t>
  </si>
  <si>
    <t xml:space="preserve">Patient's BMI (%)</t>
  </si>
  <si>
    <t xml:space="preserve">Weight used in CrCl calculation</t>
  </si>
  <si>
    <t xml:space="preserve">Serum Creatinine (mg/L)</t>
  </si>
  <si>
    <t xml:space="preserve">CrCl via Cockcroft-Gault Equation (mL/min)</t>
  </si>
  <si>
    <t xml:space="preserve">EGFR (mL/min)</t>
  </si>
  <si>
    <t xml:space="preserve"> </t>
  </si>
  <si>
    <t xml:space="preserve">Medical History  (Yes/No — see DM Medications tab)</t>
  </si>
  <si>
    <t xml:space="preserve">ASCVD (established or high-risk)</t>
  </si>
  <si>
    <t xml:space="preserve">Heart Failure (preserved of reduced EF)</t>
  </si>
  <si>
    <t xml:space="preserve">Chronic Kidney Disease (eGFR &lt; 60 mL/min and/or UAC &gt; 30 mg/g)</t>
  </si>
  <si>
    <t xml:space="preserve">Obesity / overweight (BMI ≥ 27 kg/m² with comorbidity, or BMI ≥ 30 kg/m²)</t>
  </si>
  <si>
    <t xml:space="preserve">Source: American Diabetes Association. Standards of Care in Diabetes—2026. Diabetes Care. 2026;49(Suppl 1). Insulin dosing verified against FDA prescribing information (DailyMed), accessed Aug 2026.</t>
  </si>
  <si>
    <t xml:space="preserve">Type 2 Diabetes Pharmacotherapy</t>
  </si>
  <si>
    <t xml:space="preserve">ADA 2026 — Pharmacologic Approaches to Glycemic Treatment  (Reference)</t>
  </si>
  <si>
    <t xml:space="preserve">Healthy lifestyle behaviors, self-management education/support, and social determinants of health should be considered in ALL patients.</t>
  </si>
  <si>
    <t xml:space="preserve">Reference only — summarized for quick lookup, not a substitute for the full ADA algorithm. This block is locked to protect it from accidental edits.</t>
  </si>
  <si>
    <t xml:space="preserve">First-line pharmacotherapy should be selected based upon patient-specific factors: glycemic management needs, cardiorenal risk, comorbidities, cost, and access. Consider combination pharmacotherapy at initiation if A1C is more than 1.5% above target goal.
ADA 2026 update: in patients with established/high-risk ASCVD, heart failure, CKD, or obesity, consider an SGLT2 inhibitor and/or GLP-1 RA (or GIP/GLP-1 RA) at or near diagnosis — independent of metformin use or baseline A1C — rather than only as a later add-on.</t>
  </si>
  <si>
    <t xml:space="preserve">Consider early insulin initiation with extreme hyperglycemia:
- Blood glucose &gt; 300 mg/dL
- A1C &gt; 10%
- Signs of catabolism</t>
  </si>
  <si>
    <t xml:space="preserve">Reassess and modify treatment every 3-6 months.</t>
  </si>
  <si>
    <t xml:space="preserve">Step</t>
  </si>
  <si>
    <t xml:space="preserve">Guidance</t>
  </si>
  <si>
    <t xml:space="preserve">1. At diagnosis</t>
  </si>
  <si>
    <t xml:space="preserve">Initiate lifestyle modification + metformin (unless contraindicated) for all patients with T2DM, regardless of baseline A1C, alongside diabetes self-management education/support and screening for social determinants of health.</t>
  </si>
  <si>
    <t xml:space="preserve">Select Therapy Based on Cardiorenal Risk / Comorbidity</t>
  </si>
  <si>
    <t xml:space="preserve">2. Compelling indication present?</t>
  </si>
  <si>
    <t xml:space="preserve">Comorbidity / Risk Factor</t>
  </si>
  <si>
    <t xml:space="preserve">Preferred Therapy</t>
  </si>
  <si>
    <t xml:space="preserve">   ASCVD / high CV risk</t>
  </si>
  <si>
    <t xml:space="preserve">Add a GLP-1 RA or SGLT2i with proven CV benefit, independent of A1C or metformin use.</t>
  </si>
  <si>
    <t xml:space="preserve">ASCVD (established or high risk)</t>
  </si>
  <si>
    <t xml:space="preserve">GLP-1 RA or SGLT2i with proven CVD benefit. Consider initiating at or near diagnosis in high-risk patients, independent of metformin use (ADA 2026).</t>
  </si>
  <si>
    <t xml:space="preserve">   Heart failure</t>
  </si>
  <si>
    <t xml:space="preserve">SGLT2i preferred (avoid TZDs); GLP-1 RA is a reasonable alternative.</t>
  </si>
  <si>
    <t xml:space="preserve">Heart Failure (HFrEF or HFpEF)</t>
  </si>
  <si>
    <t xml:space="preserve">SGLT2i with HF benefit preferred (avoid TZDs; avoid saxagliptin). GLP-1 RA with HF benefit, or GIP/GLP-1 RA (tirzepatide), also supported — particularly for HFpEF (ADA 2026, based on SUMMIT trial data; guideline-based, not an FDA cardiovascular-outcome label).</t>
  </si>
  <si>
    <t xml:space="preserve">   CKD (eGFR &lt;60 or albuminuria)</t>
  </si>
  <si>
    <t xml:space="preserve">SGLT2i with renal benefit preferred; add a GLP-1 RA if further glycemic or weight control is needed.</t>
  </si>
  <si>
    <t xml:space="preserve">Chronic Kidney Disease (eGFR &lt; 60 mL/min and/or UACR &gt; 30 mg/g)</t>
  </si>
  <si>
    <t xml:space="preserve">On maximally tolerated ACEi/ARB; SGLT2i with renal benefit. GLP-1 RA now also supported in T2DM with CKD (ADA 2026). Consider adding finerenone (nonsteroidal MRA) for persistent albuminuria (UACR ≥ 100 mg/g, eGFR 30-90) as a three-drug cardiorenal approach (ADA 2026).</t>
  </si>
  <si>
    <t xml:space="preserve">   Obesity / weight is priority</t>
  </si>
  <si>
    <t xml:space="preserve">GLP-1 RA or GIP/GLP-1 RA (tirzepatide) — prioritize the agent with the greatest weight-loss efficacy the patient can access.</t>
  </si>
  <si>
    <t xml:space="preserve">GLP-1 RA or GIP/GLP-1 RA (tirzepatide) preferred — prioritize the agent with the greatest weight-loss efficacy the patient can access and tolerate (ADA 2026 expanded indication branch).</t>
  </si>
  <si>
    <t xml:space="preserve">   Cost / access is major barrier</t>
  </si>
  <si>
    <t xml:space="preserve">Sulfonylurea or TZD is a reasonable add-on; weigh hypoglycemia and weight-gain trade-offs.</t>
  </si>
  <si>
    <t xml:space="preserve">MASLD / MASH (metabolic dysfunction-associated steatotic liver disease / steatohepatitis)</t>
  </si>
  <si>
    <t xml:space="preserve">GLP-1 RA or GIP/GLP-1 RA preferred. Pioglitazone also has evidence in MASH but weigh against weight-gain and heart-failure risk (ADA 2026 expanded indication branch).</t>
  </si>
  <si>
    <t xml:space="preserve">3. No compelling indication</t>
  </si>
  <si>
    <t xml:space="preserve">Select based on efficacy, hypoglycemia risk, weight effect, cost, and patient preference through shared decision-making.</t>
  </si>
  <si>
    <t xml:space="preserve">4. Not at A1C goal (~3 months)</t>
  </si>
  <si>
    <t xml:space="preserve">Intensify promptly — add a second agent from a different class; avoid therapeutic inertia. Consider early combination therapy at diagnosis for patients starting far from goal.</t>
  </si>
  <si>
    <t xml:space="preserve">New for ADA 2026: reassess the need for, and dose of, hypoglycemia-prone agents (sulfonylureas, meglitinides, insulin) whenever a new glucose-lowering medication is added, to reduce hypoglycemia risk and treatment burden.</t>
  </si>
  <si>
    <t xml:space="preserve">5. Insulin need</t>
  </si>
  <si>
    <t xml:space="preserve">Initiate insulin at any point for severe hyperglycemia (BG &gt;300 mg/dL, A1C &gt;10%, or catabolic symptoms/ketosis), or when not at goal on maximal combination oral/injectable non-insulin therapy.</t>
  </si>
  <si>
    <t xml:space="preserve">ORALS</t>
  </si>
  <si>
    <t xml:space="preserve">Adapted from: American Diabetes Association. Standards of Care in Diabetes—2026. Diabetes Care. 2026;49(Suppl 1).</t>
  </si>
  <si>
    <t xml:space="preserve">Oral Drug of Choice?</t>
  </si>
  <si>
    <t xml:space="preserve">saxagliptin (Onglyza)</t>
  </si>
  <si>
    <t xml:space="preserve">Oral Drug Dosing</t>
  </si>
  <si>
    <t xml:space="preserve">How Supplied</t>
  </si>
  <si>
    <t xml:space="preserve">Renal Dosing</t>
  </si>
  <si>
    <t xml:space="preserve">INJECTABLES</t>
  </si>
  <si>
    <t xml:space="preserve">Injectable Drug of Choice?</t>
  </si>
  <si>
    <t xml:space="preserve">dulaglutide (Trulicity)</t>
  </si>
  <si>
    <t xml:space="preserve">Injectable Drug Dosing</t>
  </si>
  <si>
    <t xml:space="preserve">FIRST-LINE THERAPY: METFORMIN</t>
  </si>
  <si>
    <t xml:space="preserve">Dosage</t>
  </si>
  <si>
    <t xml:space="preserve">- Initial, 500 mg orally twice daily OR 850 mg orally once daily with meals; may adjust dose in 500 mg increments weekly OR 850 mg every 2 weeks; if desired, patients initiated at 500 mg twice daily may be switched to 850 mg twice daily after 2 weeks; MAX dose, 2550 mg/day; max effective dose: 2000 mg daily. Doses greater than 2000 mg/day may be better tolerated if given in 3 divided doses
- Renal impairment, eGFR below 30 mL/min/1.73 m(2): Use is contraindicated 
- Renal impairment, eGFR between 30 to 45 mL/min/1.73 m(2): Use not recommended 
- Renal impairment, eGFR falls below 45 mL/min/1.73 m(2) after initiation: Assess benefits and risks of continuing treatment
- Renal impairment, eGFR falls below 30 mL/min/1.73 m(2) after initiation: Discontinue treatment</t>
  </si>
  <si>
    <t xml:space="preserve">Recommended as foundational therapy independent of baseline A1C or A1C target (ADA 2026 — unchanged).</t>
  </si>
  <si>
    <t xml:space="preserve">DRUG CLASS REFERENCE</t>
  </si>
  <si>
    <t xml:space="preserve">SGLT-2 Inhibitors</t>
  </si>
  <si>
    <t xml:space="preserve">CVD Benefit (FDA approved)</t>
  </si>
  <si>
    <t xml:space="preserve">- canagliflozin (Invokana)
- empagliflozin (Jardiance)</t>
  </si>
  <si>
    <t xml:space="preserve">HF Benefit (FDA approved)</t>
  </si>
  <si>
    <t xml:space="preserve">- dapagliflozin (Farxiga)
- empagliflozin (Jardiance)</t>
  </si>
  <si>
    <t xml:space="preserve">Renal benefit (FDA approved)</t>
  </si>
  <si>
    <t xml:space="preserve">- canagliflozin (Invokana)
- dapagliflozin (Farxiga)
- empagliflozin (Jardiance)</t>
  </si>
  <si>
    <t xml:space="preserve">Dosing</t>
  </si>
  <si>
    <t xml:space="preserve">- canagliflozin (Invokana) - Start 100 mg PO daily; max 300 mg daily
- dapagliflozin (Farxiga) - Start 5 mg PO daily; max 10 mg daily
- empagliflozin (Jardiance) - Start 10 mg PO daily; max 25 mg daily</t>
  </si>
  <si>
    <t xml:space="preserve">eGFR cutoffs (glycemic indication)</t>
  </si>
  <si>
    <t xml:space="preserve">- canagliflozin (Invokana): eGFR 30-50: max dose 100 mg once daily; eGFR &lt;30 or HD: Not recommended
- dapagliflozin (Farxiga): eGFR &lt; 60: Contraindicated
- empagliflozin (Jardiance): eGFR &lt; 45: Contraindicated</t>
  </si>
  <si>
    <t xml:space="preserve">Cardiorenal combination (ADA 2026)</t>
  </si>
  <si>
    <t xml:space="preserve">In T2DM with albuminuria (UACR ≥ 100 mg/g) and eGFR 30-90, consider combining an SGLT2i + finerenone (nonsteroidal MRA) + maximally tolerated ACEi/ARB for cardiorenal risk reduction.</t>
  </si>
  <si>
    <t xml:space="preserve">GLP-1 RAs / GIP-GLP-1 RA</t>
  </si>
  <si>
    <t xml:space="preserve">- dulaglutide (Trulicity)
- liraglutide (Victoza)
- semaglutide (Ozempic; Rybelsus)</t>
  </si>
  <si>
    <t xml:space="preserve">HF Benefit</t>
  </si>
  <si>
    <t xml:space="preserve">Neutral by FDA CV-outcome labeling for dulaglutide/liraglutide/semaglutide. GIP/GLP-1 RA (tirzepatide) shows benefit in HFpEF per the SUMMIT trial and is supported for HFpEF per ADA 2026 Standards of Care — this is guideline-based, not an FDA cardiovascular-outcome label.</t>
  </si>
  <si>
    <t xml:space="preserve">Renal Benefit</t>
  </si>
  <si>
    <t xml:space="preserve">Not FDA-approved as a dedicated renal-outcome indication for this class. ADA 2026 now supports GLP-1 RA / GIP-GLP-1 RA use in T2DM with CKD as part of individualized cardiorenal care.</t>
  </si>
  <si>
    <t xml:space="preserve">- dulaglutide (Trulicity) - Start 0.75 mg SQ once weekly; max to 1.5 mg SQ weekly
- liraglutide (Victoza) - Start 0.6 mg SQ once daily for 1 week, then increase 1.2 mg once daily; then may increase to 1.8 mg daily
- semaglutide (Ozempic) - Start 0.25 mg SQ once weekly for 4 weeks, then increase to 0.5 mg once weekly; may increase to 1 mg once weekly. If additional glycemic control needed after at least 4 weeks on 1 mg dosage, may increase to MAX of 2 mg once weekly
- semaglutide (Rybelsus) - Start 3 mg orally daily for 30 days, then increase dose to 7 mg once daily, dose may be increased to 14 mg once daily after at least 30 days on 7 mg.</t>
  </si>
  <si>
    <t xml:space="preserve">ADDITIONAL INJECTABLE DOSING REFERENCE  (new — completes the drug list above)</t>
  </si>
  <si>
    <t xml:space="preserve">tirzepatide (Mounjaro)</t>
  </si>
  <si>
    <t xml:space="preserve">Start 2.5 mg SQ once weekly x4 weeks (not for glycemic control); increase to 5 mg weekly; may increase in 2.5 mg increments after at least 4 weeks on current dose; max 15 mg weekly.</t>
  </si>
  <si>
    <t xml:space="preserve">exenatide (Byetta) / exenatide ER (Bydureon)</t>
  </si>
  <si>
    <t xml:space="preserve">Byetta: start 5 mcg SQ twice daily within 60 minutes before meals, may increase to 10 mcg twice daily after 1 month.  Bydureon: 2 mg SQ once weekly, any time of day, with or without meals.</t>
  </si>
  <si>
    <t xml:space="preserve">pramlintide (SymlinPen)</t>
  </si>
  <si>
    <t xml:space="preserve">Adjunct to mealtime insulin in T2DM: start 60 mcg SQ immediately before major meals; may increase to 120 mcg as tolerated. Reduce prandial insulin doses by 50% when initiating to reduce hypoglycemia risk.</t>
  </si>
  <si>
    <t xml:space="preserve">DEPRIORITIZED / FALLBACK AGENTS (ADA 2026)</t>
  </si>
  <si>
    <t xml:space="preserve">Sulfonylureas, meglitinides, and DPP-4 inhibitors remain fallback / cost-driven options — they lack cardiovascular, kidney, weight, or liver benefit relative to preferred agents. Use sulfonylureas and TZDs judiciously at the lowest effective dose given weight-gain and fracture risk, particularly in older adults.</t>
  </si>
  <si>
    <t xml:space="preserve">Source: American Diabetes Association. Standards of Care in Diabetes—2026. Diabetes Care. 2026;49(Suppl 1), Section 9 (Pharmacologic Approaches to Glycemic Treatment). Injectable dosing verified against FDA prescribing information (DailyMed), accessed Aug 2026. Verify current oral semaglutide (Rybelsus) dosing/branding against the live FDA label before relying on this tool clinically — trade press reported a possible reformulation/brand transition not independently confirmed here.</t>
  </si>
  <si>
    <t xml:space="preserve">Diabetes Treatment Algorithm — Insulin Dosing</t>
  </si>
  <si>
    <t xml:space="preserve">Insulin Calculations — Spelled Out (Reference)</t>
  </si>
  <si>
    <t xml:space="preserve">Select or Evaluate Initial Insulin Dose  |  Red = enter data  |  Blue = calculated  |  Green = new for ADA 2026</t>
  </si>
  <si>
    <t xml:space="preserve">Every formula this tool uses, written out in full. Locked to protect it from accidental edits.</t>
  </si>
  <si>
    <t xml:space="preserve">Calculation</t>
  </si>
  <si>
    <t xml:space="preserve">Formula / Logic</t>
  </si>
  <si>
    <t xml:space="preserve">Select Insulin Dosing Regimen — Initial</t>
  </si>
  <si>
    <t xml:space="preserve">Total Daily Dose (TDD) estimate</t>
  </si>
  <si>
    <t xml:space="preserve">0.4-1.0 units/kg/day. Use the lower end for insulin-sensitive patients (T1DM, renal impairment, elderly); use the higher end for insulin resistance.</t>
  </si>
  <si>
    <t xml:space="preserve">Initiating Insulin in Type 1 Diabetes</t>
  </si>
  <si>
    <t xml:space="preserve">Basal-bolus, 50/50 split</t>
  </si>
  <si>
    <t xml:space="preserve">Basal (long-acting) = 50% of TDD. Bolus (rapid-acting) = 50% of TDD, divided across meals.</t>
  </si>
  <si>
    <t xml:space="preserve">Insulin TDD</t>
  </si>
  <si>
    <t xml:space="preserve">0.4-1.0 units/kg/day</t>
  </si>
  <si>
    <t xml:space="preserve">Basal-bolus, NPH + Regular (2/3, 1/3)</t>
  </si>
  <si>
    <t xml:space="preserve">NPH = 2/3 of TDD. Regular = 1/3 of TDD.</t>
  </si>
  <si>
    <t xml:space="preserve">70/30 mix regimen</t>
  </si>
  <si>
    <t xml:space="preserve">Total dose = 0.5 units/kg/day, given as 2/3 in the AM and 1/3 in the PM.</t>
  </si>
  <si>
    <t xml:space="preserve">Basal-Bolus Strategy</t>
  </si>
  <si>
    <t xml:space="preserve">T2DM basal starting dose</t>
  </si>
  <si>
    <t xml:space="preserve">10 units/day, OR 0.1-0.2 units/kg/day.</t>
  </si>
  <si>
    <t xml:space="preserve">If using Long-Acting + Rapid-Acting insulin (50/50)</t>
  </si>
  <si>
    <t xml:space="preserve">PLUS</t>
  </si>
  <si>
    <t xml:space="preserve">Adding bolus insulin (T2DM, not at goal)</t>
  </si>
  <si>
    <t xml:space="preserve">4 units/day, OR 10% of TDD, given with the largest meal.</t>
  </si>
  <si>
    <t xml:space="preserve">If using NPH and regular insulin (2/3 , 1/3)</t>
  </si>
  <si>
    <t xml:space="preserve">Insulin sensitivity factor (ISF / correction factor)</t>
  </si>
  <si>
    <t xml:space="preserve">Rapid-acting — Rule of 1800: 1800 / TDD = mg/dL lowered per 1 unit. Regular — Rule of 1500: 1500 / TDD = mg/dL lowered per 1 unit.</t>
  </si>
  <si>
    <t xml:space="preserve">if using insulin 70/30  (0.5 units/kg/day -- &gt; 2/3 AM +  1/3 PM)</t>
  </si>
  <si>
    <t xml:space="preserve">Insulin-to-carb ratio (ICR)</t>
  </si>
  <si>
    <t xml:space="preserve">Rapid-acting — Rule of 500: 500 / TDD = grams of carb covered per 1 unit. Regular — Rule of 450: 450 / TDD = grams of carb covered per 1 unit.</t>
  </si>
  <si>
    <t xml:space="preserve">Initiating Insulin in Type 2 Diabetes</t>
  </si>
  <si>
    <t xml:space="preserve">Correction dose</t>
  </si>
  <si>
    <t xml:space="preserve">(Current BG − Target BG) ÷ ISF (correction factor) = units of correction insulin.</t>
  </si>
  <si>
    <t xml:space="preserve">Basal Insulin Dose</t>
  </si>
  <si>
    <t xml:space="preserve">Basal Insulin is initated at 10 units daily OR 0.1-0.2 units/kg/day</t>
  </si>
  <si>
    <t xml:space="preserve">Insulin icodec (Awiqli), Week 1 dose</t>
  </si>
  <si>
    <t xml:space="preserve">ROUND(1.5 × 7-day total basal dose ÷ 10, 0) × 10 — a one-time starting dose, rounded to the nearest 10 units.</t>
  </si>
  <si>
    <t xml:space="preserve">10 units q daily</t>
  </si>
  <si>
    <t xml:space="preserve">OR</t>
  </si>
  <si>
    <t xml:space="preserve">Insulin icodec (Awiqli), Week 2 onward</t>
  </si>
  <si>
    <t xml:space="preserve">ROUND(7-day total basal dose ÷ 10, 0) × 10 units — rounded to the nearest 10 units.</t>
  </si>
  <si>
    <t xml:space="preserve">Adjusting Insulin Regimen</t>
  </si>
  <si>
    <t xml:space="preserve">Insulin Conversion Reference</t>
  </si>
  <si>
    <t xml:space="preserve">Enter TDD of insulin</t>
  </si>
  <si>
    <t xml:space="preserve">General starting-point conversion principles — always individualize and monitor closely after any insulin switch. Locked to protect it from accidental edits.</t>
  </si>
  <si>
    <t xml:space="preserve">Adding bolus insulin in T2DM</t>
  </si>
  <si>
    <t xml:space="preserve">If not at goal, bolus insulin is initiated at 4 units/day OR 10% of TDD</t>
  </si>
  <si>
    <t xml:space="preserve">Switching from / to</t>
  </si>
  <si>
    <t xml:space="preserve">4 units per day with largest meal</t>
  </si>
  <si>
    <t xml:space="preserve">NPH once daily → glargine or detemir U-100</t>
  </si>
  <si>
    <t xml:space="preserve">Convert unit-for-unit; give once daily.</t>
  </si>
  <si>
    <t xml:space="preserve">Enter rapid or regular Insulin as bolus?</t>
  </si>
  <si>
    <t xml:space="preserve">NPH twice daily → glargine U-100 once daily</t>
  </si>
  <si>
    <t xml:space="preserve">Reduce total daily dose by 20%; give once daily.</t>
  </si>
  <si>
    <t xml:space="preserve">Insulin sensitivity factor (rule of 1800 or 1500)</t>
  </si>
  <si>
    <t xml:space="preserve">Once-daily basal (glargine U-100, detemir, or NPH) → glargine U-300 (Toujeo)</t>
  </si>
  <si>
    <t xml:space="preserve">Same unit dose (1:1).</t>
  </si>
  <si>
    <t xml:space="preserve">Insulin-to-carb ratio (rule of 500 or 450)</t>
  </si>
  <si>
    <t xml:space="preserve">Twice-daily long/intermediate-acting (e.g., detemir, NPH) → glargine U-300 (Toujeo)</t>
  </si>
  <si>
    <t xml:space="preserve">Initiate at 80% of the total daily twice-daily dose.</t>
  </si>
  <si>
    <t xml:space="preserve">Correction Dose </t>
  </si>
  <si>
    <t xml:space="preserve">[Current BG - Target BG]/Correction Factor </t>
  </si>
  <si>
    <t xml:space="preserve">Any basal analog → degludec (Tresiba)</t>
  </si>
  <si>
    <t xml:space="preserve">Convert unit-for-unit; a higher dose of the ultra-long-acting agent may be needed for equivalent effect — titrate to response.</t>
  </si>
  <si>
    <t xml:space="preserve">Enter current BG </t>
  </si>
  <si>
    <t xml:space="preserve">Regular → rapid-acting (lispro, aspart, glulisine)</t>
  </si>
  <si>
    <t xml:space="preserve">Convert unit-for-unit as a starting point.</t>
  </si>
  <si>
    <t xml:space="preserve">Enter target BG</t>
  </si>
  <si>
    <t xml:space="preserve">U-100 / U-200 / U-300 basal → U-500 regular</t>
  </si>
  <si>
    <t xml:space="preserve">A1C &gt;8%: same total daily dose. A1C ≤8%: reduce total daily dose by 20%.</t>
  </si>
  <si>
    <t xml:space="preserve">Calculated Correction Dose</t>
  </si>
  <si>
    <t xml:space="preserve">General mixed-insulin (70/30, 75/25, 50/50) switches</t>
  </si>
  <si>
    <t xml:space="preserve">Convert unit-for-unit when the mix ratio is similar; reassess the AM/PM split if the ratio changes.</t>
  </si>
  <si>
    <t xml:space="preserve">Sources: institutional insulin conversion practice; Cardi-OH Guide to Therapeutic Interchange of Insulin Products (Nov 2025); product prescribing information for glargine U-300 (Toujeo) and U-500 regular.</t>
  </si>
  <si>
    <t xml:space="preserve">Insulin Conversions</t>
  </si>
  <si>
    <t xml:space="preserve">Basal insulin conversions</t>
  </si>
  <si>
    <t xml:space="preserve">Enter current basal insulin</t>
  </si>
  <si>
    <t xml:space="preserve">Enter current insulin dose</t>
  </si>
  <si>
    <t xml:space="preserve">Enter desired basal insulin</t>
  </si>
  <si>
    <t xml:space="preserve">Calculated desired insulin dose (TDD)</t>
  </si>
  <si>
    <t xml:space="preserve">Bolus insulin conversions</t>
  </si>
  <si>
    <t xml:space="preserve">Enter current bolus insulin</t>
  </si>
  <si>
    <t xml:space="preserve">Enter desired bolus  insulin</t>
  </si>
  <si>
    <t xml:space="preserve">Calculated desired insulin dose </t>
  </si>
  <si>
    <t xml:space="preserve">Mixed insulin conversions</t>
  </si>
  <si>
    <t xml:space="preserve">Enter current mixed insulin</t>
  </si>
  <si>
    <t xml:space="preserve">Enter desired mixed insulin</t>
  </si>
  <si>
    <t xml:space="preserve">ONCE-WEEKLY BASAL INSULIN — INSULIN ICODEC (AWIQLI)  —  new, FDA-approved March 2026</t>
  </si>
  <si>
    <t xml:space="preserve">Formulation</t>
  </si>
  <si>
    <t xml:space="preserve">U-700 (700 units/mL) — about 7x more concentrated than standard U-100 basal insulins. Use only the Awiqli FlexTouch pen; never withdraw into a syringe. Do not mix or dilute with any other insulin.</t>
  </si>
  <si>
    <t xml:space="preserve">Insulin-naive starting dose</t>
  </si>
  <si>
    <t xml:space="preserve">70 units SQ once weekly, same day each week.</t>
  </si>
  <si>
    <t xml:space="preserve">Enter current total daily dose of basal insulin (units) — for patients switching from daily basal</t>
  </si>
  <si>
    <t xml:space="preserve">Week 1 dose (one-time starting dose)</t>
  </si>
  <si>
    <t xml:space="preserve">Week 2 dose</t>
  </si>
  <si>
    <t xml:space="preserve">Week 3 and beyond</t>
  </si>
  <si>
    <t xml:space="preserve">Titrate from the prior weekly dose based on metabolic needs, blood glucose monitoring, and glycemic goals.</t>
  </si>
  <si>
    <t xml:space="preserve">Administration notes</t>
  </si>
  <si>
    <t xml:space="preserve">Give the first Awiqli dose the day after the last daily basal dose. Doses in 10-unit increments; max 700 units per single injection (doses above 700 units require split injections). If a dose is missed, take within 4 days of the missed dose; if more than 4 days have passed, skip and resume on the next scheduled day.</t>
  </si>
  <si>
    <t xml:space="preserve">Source: Awiqli (insulin icodec-abae) FDA Prescribing Information, DailyMed, revised 3/2026, accessed Aug 2026. All other insulin initiation/titration figures on this tab are carried over from prior Standards of Care — no ADA-specific numeric changes were identified for 2026.</t>
  </si>
  <si>
    <t xml:space="preserve">Diabetes Treatment Algorithm — SMBG Averages</t>
  </si>
  <si>
    <t xml:space="preserve">SMBG Averages  |  Red = enter data  |  Blue = calculated  |  Green = new for ADA 2026</t>
  </si>
  <si>
    <t xml:space="preserve">Enter SMBG values </t>
  </si>
  <si>
    <t xml:space="preserve">Running average </t>
  </si>
  <si>
    <t xml:space="preserve">ADA Blood Sugar Goals</t>
  </si>
  <si>
    <t xml:space="preserve">Before Breakfast</t>
  </si>
  <si>
    <t xml:space="preserve">A1c</t>
  </si>
  <si>
    <t xml:space="preserve">&lt;7%</t>
  </si>
  <si>
    <t xml:space="preserve">Fasting</t>
  </si>
  <si>
    <t xml:space="preserve">80-130</t>
  </si>
  <si>
    <t xml:space="preserve">2 hours post-prandial</t>
  </si>
  <si>
    <t xml:space="preserve">&lt; 180</t>
  </si>
  <si>
    <t xml:space="preserve">Hypoglycemia</t>
  </si>
  <si>
    <t xml:space="preserve">&lt;70</t>
  </si>
  <si>
    <t xml:space="preserve">After Breakfast</t>
  </si>
  <si>
    <t xml:space="preserve">Hypoglycemic SMBG &lt; 70  will change cell red</t>
  </si>
  <si>
    <t xml:space="preserve">SMBG &gt; 180 will change cell purple</t>
  </si>
  <si>
    <t xml:space="preserve">Overall Average</t>
  </si>
  <si>
    <t xml:space="preserve"># Hypoglycemic SMBG</t>
  </si>
  <si>
    <t xml:space="preserve">Before Lunch</t>
  </si>
  <si>
    <t xml:space="preserve"># SMBG &gt; 180</t>
  </si>
  <si>
    <t xml:space="preserve">A1C to estimated glucose</t>
  </si>
  <si>
    <t xml:space="preserve">Average glucose to A1c</t>
  </si>
  <si>
    <t xml:space="preserve">After Lunch</t>
  </si>
  <si>
    <t xml:space="preserve">Before Dinner</t>
  </si>
  <si>
    <t xml:space="preserve">After Dinner</t>
  </si>
  <si>
    <t xml:space="preserve">Bedtime</t>
  </si>
  <si>
    <t xml:space="preserve">ADDITIONAL 2026 ADA TARGETS  —  new</t>
  </si>
  <si>
    <t xml:space="preserve">Glycemic and CGM targets are now framed more explicitly around age, frailty, and functional/health status rather than a single flat number — individualize the &lt;7% A1C goal accordingly, especially in older adults (ADA 2026, Sections 6 and 13).</t>
  </si>
  <si>
    <t xml:space="preserve">New perioperative target (ADA 2026): A1C ≤ 8% before elective surgery; inpatient glucose 100-180 mg/dL before, during, and after surgery.</t>
  </si>
  <si>
    <t xml:space="preserve">Source: American Diabetes Association. Standards of Care in Diabetes—2026. Diabetes Care. 2026;49(Suppl 1), Sections 6 and 13. Core fasting/postprandial/hypoglycemia numeric thresholds (80-130, &lt;180, &lt;70 mg/dL) verified as carryover with no confirmed 2026 numeric change; cross-check Table 6.2 directly if this tool is used for a non-standard target population.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</si>
</sst>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32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2"/>
      <charset val="1"/>
    </font>
    <font>
      <i val="true"/>
      <sz val="10"/>
      <color rgb="FFFFFFFF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10"/>
      <color rgb="FF1A1A1A"/>
      <name val="Arial"/>
      <family val="2"/>
      <charset val="1"/>
    </font>
    <font>
      <sz val="10"/>
      <color rgb="FF1A1A1A"/>
      <name val="Arial"/>
      <family val="2"/>
      <charset val="1"/>
    </font>
    <font>
      <b val="true"/>
      <i val="true"/>
      <sz val="10"/>
      <color rgb="FF9C0006"/>
      <name val="Arial"/>
      <family val="2"/>
      <charset val="1"/>
    </font>
    <font>
      <b val="true"/>
      <sz val="10"/>
      <color rgb="FF1F4E78"/>
      <name val="Arial"/>
      <family val="2"/>
      <charset val="1"/>
    </font>
    <font>
      <b val="true"/>
      <sz val="11"/>
      <color rgb="FF1F4E78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sz val="10"/>
      <color rgb="FF1A1A1A"/>
      <name val="Arial"/>
      <family val="0"/>
      <charset val="1"/>
    </font>
    <font>
      <sz val="18"/>
      <color theme="1"/>
      <name val="Calibri"/>
      <family val="2"/>
      <charset val="1"/>
    </font>
    <font>
      <b val="true"/>
      <i val="true"/>
      <sz val="9"/>
      <color rgb="FF9C0006"/>
      <name val="Arial"/>
      <family val="2"/>
      <charset val="1"/>
    </font>
    <font>
      <b val="true"/>
      <sz val="10"/>
      <color rgb="FF9C0006"/>
      <name val="Arial"/>
      <family val="2"/>
      <charset val="1"/>
    </font>
    <font>
      <i val="true"/>
      <sz val="8"/>
      <color rgb="FF808080"/>
      <name val="Arial"/>
      <family val="2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7A7A7A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0"/>
      <color rgb="FF1F6B3C"/>
      <name val="Arial"/>
      <family val="2"/>
      <charset val="1"/>
    </font>
    <font>
      <sz val="10"/>
      <color rgb="FF1F6B3C"/>
      <name val="Arial"/>
      <family val="2"/>
      <charset val="1"/>
    </font>
    <font>
      <i val="true"/>
      <sz val="8.5"/>
      <color rgb="FF7A7A7A"/>
      <name val="Arial"/>
      <family val="0"/>
      <charset val="1"/>
    </font>
    <font>
      <b val="true"/>
      <sz val="10.5"/>
      <color rgb="FF1F4E78"/>
      <name val="Arial"/>
      <family val="0"/>
      <charset val="1"/>
    </font>
    <font>
      <b val="true"/>
      <sz val="10"/>
      <color rgb="FFFFFFFF"/>
      <name val="Arial"/>
      <family val="2"/>
      <charset val="1"/>
    </font>
    <font>
      <i val="true"/>
      <sz val="9"/>
      <color rgb="FF808080"/>
      <name val="Arial"/>
      <family val="2"/>
      <charset val="1"/>
    </font>
    <font>
      <b val="true"/>
      <sz val="18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sz val="10"/>
      <color rgb="FF9C0006"/>
      <name val="Arial"/>
      <family val="2"/>
      <charset val="1"/>
    </font>
    <font>
      <i val="true"/>
      <sz val="8"/>
      <color rgb="FF595959"/>
      <name val="Arial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3A6EA5"/>
      </patternFill>
    </fill>
    <fill>
      <patternFill patternType="solid">
        <fgColor rgb="FFFDE9D9"/>
        <bgColor rgb="FFFDEDEC"/>
      </patternFill>
    </fill>
    <fill>
      <patternFill patternType="solid">
        <fgColor rgb="FFF7F9FB"/>
        <bgColor rgb="FFFFFFFF"/>
      </patternFill>
    </fill>
    <fill>
      <patternFill patternType="solid">
        <fgColor rgb="FFFDEDEC"/>
        <bgColor rgb="FFFDE9D9"/>
      </patternFill>
    </fill>
    <fill>
      <patternFill patternType="solid">
        <fgColor rgb="FFEAF3FB"/>
        <bgColor rgb="FFE9F7EF"/>
      </patternFill>
    </fill>
    <fill>
      <patternFill patternType="solid">
        <fgColor rgb="FF3A6EA5"/>
        <bgColor rgb="FF2E75B6"/>
      </patternFill>
    </fill>
    <fill>
      <patternFill patternType="solid">
        <fgColor rgb="FFE9F7EF"/>
        <bgColor rgb="FFEAF3FB"/>
      </patternFill>
    </fill>
    <fill>
      <patternFill patternType="solid">
        <fgColor rgb="FFFFFFFF"/>
        <bgColor rgb="FFF7F9FB"/>
      </patternFill>
    </fill>
    <fill>
      <patternFill patternType="solid">
        <fgColor rgb="FFFBF3DB"/>
        <bgColor rgb="FFFFF7E6"/>
      </patternFill>
    </fill>
    <fill>
      <patternFill patternType="solid">
        <fgColor rgb="FFD9E5F2"/>
        <bgColor rgb="FFD6DCE5"/>
      </patternFill>
    </fill>
    <fill>
      <patternFill patternType="solid">
        <fgColor theme="3" tint="0.7998"/>
        <bgColor rgb="FFD9D9D9"/>
      </patternFill>
    </fill>
    <fill>
      <patternFill patternType="solid">
        <fgColor rgb="FF7030A0"/>
        <bgColor rgb="FF800080"/>
      </patternFill>
    </fill>
    <fill>
      <patternFill patternType="solid">
        <fgColor rgb="FFFFF7E6"/>
        <bgColor rgb="FFFBF3DB"/>
      </patternFill>
    </fill>
    <fill>
      <patternFill patternType="solid">
        <fgColor rgb="FF1F6B3C"/>
        <bgColor rgb="FF1F4E78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>
        <color rgb="FFB7950B"/>
      </left>
      <right/>
      <top style="thin">
        <color rgb="FFB7950B"/>
      </top>
      <bottom/>
      <diagonal/>
    </border>
    <border diagonalUp="false" diagonalDown="false"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  <border diagonalUp="false" diagonalDown="false">
      <left style="thin">
        <color theme="1"/>
      </left>
      <right style="thin">
        <color theme="1"/>
      </right>
      <top style="thin">
        <color theme="1"/>
      </top>
      <bottom/>
      <diagonal/>
    </border>
    <border diagonalUp="false" diagonalDown="false"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 diagonalUp="false" diagonalDown="false">
      <left style="thin">
        <color rgb="FFC0392B"/>
      </left>
      <right style="thin">
        <color rgb="FFC0392B"/>
      </right>
      <top style="thin">
        <color rgb="FFC0392B"/>
      </top>
      <bottom style="thin">
        <color rgb="FFC0392B"/>
      </bottom>
      <diagonal/>
    </border>
    <border diagonalUp="false" diagonalDown="false">
      <left style="thin">
        <color theme="1"/>
      </left>
      <right/>
      <top style="thin">
        <color theme="1"/>
      </top>
      <bottom style="thin">
        <color theme="1"/>
      </bottom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 diagonalUp="false" diagonalDown="false">
      <left style="thin">
        <color theme="1"/>
      </left>
      <right/>
      <top/>
      <bottom/>
      <diagonal/>
    </border>
    <border diagonalUp="false" diagonalDown="false">
      <left/>
      <right/>
      <top style="thin">
        <color theme="1"/>
      </top>
      <bottom style="thin">
        <color theme="1"/>
      </bottom>
      <diagonal/>
    </border>
    <border diagonalUp="false" diagonalDown="false">
      <left/>
      <right/>
      <top style="thin">
        <color rgb="FFFF0000"/>
      </top>
      <bottom/>
      <diagonal/>
    </border>
    <border diagonalUp="false" diagonalDown="false">
      <left/>
      <right/>
      <top style="thin">
        <color rgb="FFFF0000"/>
      </top>
      <bottom style="thin">
        <color theme="1"/>
      </bottom>
      <diagonal/>
    </border>
    <border diagonalUp="false" diagonalDown="false">
      <left style="thin">
        <color rgb="FFFF0000"/>
      </left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1F6B3C"/>
      </left>
      <right style="thin">
        <color rgb="FF1F6B3C"/>
      </right>
      <top style="thin">
        <color rgb="FF1F6B3C"/>
      </top>
      <bottom style="thin">
        <color rgb="FF1F6B3C"/>
      </bottom>
      <diagonal/>
    </border>
    <border diagonalUp="false" diagonalDown="false">
      <left style="thin">
        <color rgb="FFB7950B"/>
      </left>
      <right style="thin">
        <color rgb="FFB7950B"/>
      </right>
      <top style="thin">
        <color rgb="FFB7950B"/>
      </top>
      <bottom style="thin">
        <color rgb="FFB7950B"/>
      </bottom>
      <diagonal/>
    </border>
    <border diagonalUp="false" diagonalDown="false">
      <left/>
      <right/>
      <top/>
      <bottom style="thin">
        <color theme="1"/>
      </bottom>
      <diagonal/>
    </border>
    <border diagonalUp="false" diagonalDown="false">
      <left/>
      <right/>
      <top style="thin">
        <color theme="1"/>
      </top>
      <bottom/>
      <diagonal/>
    </border>
    <border diagonalUp="false" diagonalDown="false">
      <left/>
      <right style="thin">
        <color rgb="FFFF0000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3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2" borderId="4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6" fillId="6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4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1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5" borderId="1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5" borderId="1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9" borderId="1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9" borderId="1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6" fillId="6" borderId="5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0" fillId="7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1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6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11" borderId="1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4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1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2" borderId="16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7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1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8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14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6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15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30" fillId="6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16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B851FF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7F9FB"/>
      <rgbColor rgb="FFFF00FF"/>
      <rgbColor rgb="FF00FFFF"/>
      <rgbColor rgb="FF9C0006"/>
      <rgbColor rgb="FF1F6B3C"/>
      <rgbColor rgb="FF000080"/>
      <rgbColor rgb="FFB7950B"/>
      <rgbColor rgb="FF800080"/>
      <rgbColor rgb="FF008080"/>
      <rgbColor rgb="FFB7C6D9"/>
      <rgbColor rgb="FF808080"/>
      <rgbColor rgb="FF9999FF"/>
      <rgbColor rgb="FF7030A0"/>
      <rgbColor rgb="FFFFF7E6"/>
      <rgbColor rgb="FFE9F7EF"/>
      <rgbColor rgb="FF660066"/>
      <rgbColor rgb="FFFF8080"/>
      <rgbColor rgb="FF3A6EA5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B"/>
      <rgbColor rgb="FFD9E5F2"/>
      <rgbColor rgb="FFFBF3DB"/>
      <rgbColor rgb="FFD9D9D9"/>
      <rgbColor rgb="FFFDEDEC"/>
      <rgbColor rgb="FFB851FF"/>
      <rgbColor rgb="FFFDE9D9"/>
      <rgbColor rgb="FF2E75B6"/>
      <rgbColor rgb="FF33CCCC"/>
      <rgbColor rgb="FF99CC00"/>
      <rgbColor rgb="FFFFCC00"/>
      <rgbColor rgb="FFFF9900"/>
      <rgbColor rgb="FFFF6600"/>
      <rgbColor rgb="FF7A7A7A"/>
      <rgbColor rgb="FF969696"/>
      <rgbColor rgb="FF003366"/>
      <rgbColor rgb="FF339966"/>
      <rgbColor rgb="FF003300"/>
      <rgbColor rgb="FF333300"/>
      <rgbColor rgb="FFC0392B"/>
      <rgbColor rgb="FF595959"/>
      <rgbColor rgb="FF1F4E78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ColWidth="8.66796875" defaultRowHeight="15.7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92"/>
  </cols>
  <sheetData>
    <row r="1" customFormat="false" ht="25.5" hidden="false" customHeight="true" outlineLevel="0" collapsed="false">
      <c r="A1" s="2" t="s">
        <v>0</v>
      </c>
      <c r="B1" s="2"/>
    </row>
    <row r="2" customFormat="false" ht="18" hidden="false" customHeight="true" outlineLevel="0" collapsed="false">
      <c r="A2" s="3" t="s">
        <v>1</v>
      </c>
      <c r="B2" s="3"/>
    </row>
    <row r="4" customFormat="false" ht="18" hidden="false" customHeight="true" outlineLevel="0" collapsed="false">
      <c r="A4" s="4" t="s">
        <v>2</v>
      </c>
      <c r="B4" s="4"/>
    </row>
    <row r="5" customFormat="false" ht="27.75" hidden="false" customHeight="true" outlineLevel="0" collapsed="false">
      <c r="A5" s="5" t="n">
        <v>1</v>
      </c>
      <c r="B5" s="6" t="s">
        <v>3</v>
      </c>
    </row>
    <row r="6" customFormat="false" ht="27.75" hidden="false" customHeight="true" outlineLevel="0" collapsed="false">
      <c r="A6" s="5" t="n">
        <v>2</v>
      </c>
      <c r="B6" s="6" t="s">
        <v>4</v>
      </c>
    </row>
    <row r="7" customFormat="false" ht="27.75" hidden="false" customHeight="true" outlineLevel="0" collapsed="false">
      <c r="A7" s="5" t="n">
        <v>3</v>
      </c>
      <c r="B7" s="6" t="s">
        <v>5</v>
      </c>
    </row>
    <row r="8" customFormat="false" ht="9.75" hidden="false" customHeight="true" outlineLevel="0" collapsed="false"/>
    <row r="9" customFormat="false" ht="18" hidden="false" customHeight="true" outlineLevel="0" collapsed="false">
      <c r="A9" s="4" t="s">
        <v>6</v>
      </c>
      <c r="B9" s="4"/>
    </row>
    <row r="10" customFormat="false" ht="27.75" hidden="false" customHeight="true" outlineLevel="0" collapsed="false">
      <c r="A10" s="5" t="n">
        <v>1</v>
      </c>
      <c r="B10" s="6" t="s">
        <v>7</v>
      </c>
    </row>
    <row r="11" customFormat="false" ht="27.75" hidden="false" customHeight="true" outlineLevel="0" collapsed="false">
      <c r="A11" s="5" t="n">
        <v>2</v>
      </c>
      <c r="B11" s="6" t="s">
        <v>8</v>
      </c>
    </row>
    <row r="12" customFormat="false" ht="27.75" hidden="false" customHeight="true" outlineLevel="0" collapsed="false">
      <c r="A12" s="5" t="n">
        <v>3</v>
      </c>
      <c r="B12" s="6" t="s">
        <v>9</v>
      </c>
    </row>
    <row r="13" customFormat="false" ht="9.75" hidden="false" customHeight="true" outlineLevel="0" collapsed="false"/>
    <row r="14" customFormat="false" ht="18" hidden="false" customHeight="true" outlineLevel="0" collapsed="false">
      <c r="A14" s="4" t="s">
        <v>10</v>
      </c>
      <c r="B14" s="4"/>
    </row>
    <row r="15" customFormat="false" ht="27.75" hidden="false" customHeight="true" outlineLevel="0" collapsed="false">
      <c r="A15" s="5" t="n">
        <v>1</v>
      </c>
      <c r="B15" s="6" t="s">
        <v>11</v>
      </c>
    </row>
    <row r="16" customFormat="false" ht="27.75" hidden="false" customHeight="true" outlineLevel="0" collapsed="false">
      <c r="A16" s="5" t="n">
        <v>2</v>
      </c>
      <c r="B16" s="6" t="s">
        <v>12</v>
      </c>
    </row>
    <row r="17" customFormat="false" ht="27.75" hidden="false" customHeight="true" outlineLevel="0" collapsed="false">
      <c r="A17" s="5" t="n">
        <v>3</v>
      </c>
      <c r="B17" s="6" t="s">
        <v>13</v>
      </c>
    </row>
    <row r="18" customFormat="false" ht="9.75" hidden="false" customHeight="true" outlineLevel="0" collapsed="false"/>
    <row r="19" customFormat="false" ht="18" hidden="false" customHeight="true" outlineLevel="0" collapsed="false">
      <c r="A19" s="4" t="s">
        <v>14</v>
      </c>
      <c r="B19" s="4"/>
    </row>
    <row r="20" customFormat="false" ht="27.75" hidden="false" customHeight="true" outlineLevel="0" collapsed="false">
      <c r="A20" s="5" t="n">
        <v>1</v>
      </c>
      <c r="B20" s="6" t="s">
        <v>15</v>
      </c>
    </row>
    <row r="21" customFormat="false" ht="27.75" hidden="false" customHeight="true" outlineLevel="0" collapsed="false">
      <c r="A21" s="5" t="n">
        <v>2</v>
      </c>
      <c r="B21" s="6" t="s">
        <v>16</v>
      </c>
    </row>
    <row r="22" customFormat="false" ht="27.75" hidden="false" customHeight="true" outlineLevel="0" collapsed="false">
      <c r="A22" s="5" t="n">
        <v>3</v>
      </c>
      <c r="B22" s="6" t="s">
        <v>17</v>
      </c>
    </row>
    <row r="23" customFormat="false" ht="9.75" hidden="false" customHeight="true" outlineLevel="0" collapsed="false"/>
    <row r="24" customFormat="false" ht="19.5" hidden="false" customHeight="true" outlineLevel="0" collapsed="false">
      <c r="A24" s="7" t="s">
        <v>18</v>
      </c>
      <c r="B24" s="7"/>
    </row>
    <row r="25" customFormat="false" ht="19.5" hidden="false" customHeight="true" outlineLevel="0" collapsed="false">
      <c r="A25" s="7"/>
      <c r="B25" s="7"/>
    </row>
    <row r="26" customFormat="false" ht="19.5" hidden="false" customHeight="true" outlineLevel="0" collapsed="false">
      <c r="A26" s="7"/>
      <c r="B26" s="7"/>
    </row>
    <row r="28" customFormat="false" ht="18" hidden="false" customHeight="true" outlineLevel="0" collapsed="false">
      <c r="A28" s="8" t="s">
        <v>19</v>
      </c>
      <c r="B28" s="9" t="s">
        <v>20</v>
      </c>
    </row>
    <row r="29" customFormat="false" ht="18" hidden="false" customHeight="true" outlineLevel="0" collapsed="false">
      <c r="A29" s="8" t="s">
        <v>21</v>
      </c>
      <c r="B29" s="9" t="s">
        <v>22</v>
      </c>
    </row>
    <row r="30" customFormat="false" ht="18" hidden="false" customHeight="true" outlineLevel="0" collapsed="false">
      <c r="A30" s="8" t="s">
        <v>23</v>
      </c>
      <c r="B30" s="9" t="s">
        <v>24</v>
      </c>
    </row>
    <row r="31" customFormat="false" ht="18" hidden="false" customHeight="true" outlineLevel="0" collapsed="false">
      <c r="A31" s="8" t="s">
        <v>25</v>
      </c>
      <c r="B31" s="9" t="s">
        <v>26</v>
      </c>
    </row>
    <row r="33" customFormat="false" ht="15.75" hidden="false" customHeight="true" outlineLevel="0" collapsed="false">
      <c r="A33" s="10"/>
    </row>
    <row r="34" customFormat="false" ht="45" hidden="false" customHeight="true" outlineLevel="0" collapsed="false">
      <c r="A34" s="11"/>
      <c r="B34" s="12"/>
    </row>
  </sheetData>
  <mergeCells count="7">
    <mergeCell ref="A1:B1"/>
    <mergeCell ref="A2:B2"/>
    <mergeCell ref="A4:B4"/>
    <mergeCell ref="A9:B9"/>
    <mergeCell ref="A14:B14"/>
    <mergeCell ref="A19:B19"/>
    <mergeCell ref="A24:B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83" zoomScaleNormal="83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10.83984375" defaultRowHeight="24" customHeight="false" zeroHeight="false" outlineLevelRow="0" outlineLevelCol="0"/>
  <cols>
    <col collapsed="false" customWidth="true" hidden="false" outlineLevel="0" max="1" min="1" style="13" width="42"/>
    <col collapsed="false" customWidth="true" hidden="false" outlineLevel="0" max="2" min="2" style="13" width="22"/>
    <col collapsed="false" customWidth="true" hidden="false" outlineLevel="0" max="5" min="3" style="13" width="3"/>
    <col collapsed="false" customWidth="true" hidden="false" outlineLevel="0" max="6" min="6" style="13" width="26"/>
    <col collapsed="false" customWidth="true" hidden="false" outlineLevel="0" max="7" min="7" style="13" width="12"/>
    <col collapsed="false" customWidth="true" hidden="false" outlineLevel="0" max="8" min="8" style="13" width="16"/>
    <col collapsed="false" customWidth="false" hidden="false" outlineLevel="0" max="16384" min="9" style="13" width="10.84"/>
  </cols>
  <sheetData>
    <row r="1" customFormat="false" ht="25.5" hidden="false" customHeight="true" outlineLevel="0" collapsed="false">
      <c r="A1" s="14" t="s">
        <v>27</v>
      </c>
      <c r="B1" s="14"/>
      <c r="C1" s="14"/>
      <c r="D1" s="14"/>
      <c r="E1" s="14"/>
      <c r="F1" s="14"/>
      <c r="G1" s="14"/>
      <c r="H1" s="14"/>
    </row>
    <row r="2" customFormat="false" ht="15.75" hidden="false" customHeight="true" outlineLevel="0" collapsed="false">
      <c r="A2" s="15" t="s">
        <v>28</v>
      </c>
      <c r="B2" s="15"/>
      <c r="C2" s="15"/>
      <c r="D2" s="15"/>
      <c r="E2" s="15"/>
      <c r="F2" s="15"/>
      <c r="G2" s="15"/>
      <c r="H2" s="15"/>
    </row>
    <row r="3" customFormat="false" ht="15.75" hidden="false" customHeight="true" outlineLevel="0" collapsed="false">
      <c r="A3" s="16" t="s">
        <v>29</v>
      </c>
      <c r="B3" s="16"/>
      <c r="C3" s="16"/>
      <c r="D3" s="16"/>
      <c r="E3" s="16"/>
      <c r="F3" s="16"/>
      <c r="G3" s="16"/>
      <c r="H3" s="16"/>
    </row>
    <row r="4" customFormat="false" ht="18" hidden="false" customHeight="true" outlineLevel="0" collapsed="false">
      <c r="A4" s="17" t="s">
        <v>30</v>
      </c>
      <c r="B4" s="17"/>
      <c r="F4" s="18" t="s">
        <v>31</v>
      </c>
      <c r="G4" s="19" t="s">
        <v>32</v>
      </c>
      <c r="H4" s="20" t="s">
        <v>33</v>
      </c>
    </row>
    <row r="5" customFormat="false" ht="15.75" hidden="false" customHeight="true" outlineLevel="0" collapsed="false">
      <c r="A5" s="21" t="s">
        <v>34</v>
      </c>
      <c r="B5" s="22" t="n">
        <v>60</v>
      </c>
      <c r="F5" s="23" t="s">
        <v>35</v>
      </c>
      <c r="G5" s="22"/>
      <c r="H5" s="24" t="str">
        <f aca="false">IF(G5="", "", G5/2.2)</f>
        <v/>
      </c>
    </row>
    <row r="6" customFormat="false" ht="15.75" hidden="false" customHeight="true" outlineLevel="0" collapsed="false">
      <c r="A6" s="21" t="s">
        <v>36</v>
      </c>
      <c r="B6" s="22" t="s">
        <v>37</v>
      </c>
      <c r="F6" s="23" t="s">
        <v>38</v>
      </c>
      <c r="G6" s="22"/>
      <c r="H6" s="24" t="str">
        <f aca="false">IF(G6="","", G6*2.2)</f>
        <v/>
      </c>
    </row>
    <row r="7" customFormat="false" ht="15.75" hidden="false" customHeight="true" outlineLevel="0" collapsed="false">
      <c r="A7" s="21" t="s">
        <v>39</v>
      </c>
      <c r="B7" s="22" t="n">
        <v>60</v>
      </c>
      <c r="F7" s="23" t="s">
        <v>40</v>
      </c>
      <c r="G7" s="22"/>
      <c r="H7" s="24" t="str">
        <f aca="false">IF(G7="","", G7/2.54)</f>
        <v/>
      </c>
    </row>
    <row r="8" customFormat="false" ht="15.75" hidden="false" customHeight="true" outlineLevel="0" collapsed="false">
      <c r="A8" s="21" t="s">
        <v>41</v>
      </c>
      <c r="B8" s="22" t="n">
        <v>65</v>
      </c>
      <c r="F8" s="23" t="s">
        <v>42</v>
      </c>
      <c r="G8" s="22"/>
      <c r="H8" s="24" t="str">
        <f aca="false">IF(G8="","", G8*2.54)</f>
        <v/>
      </c>
    </row>
    <row r="9" customFormat="false" ht="15.75" hidden="false" customHeight="true" outlineLevel="0" collapsed="false">
      <c r="A9" s="21" t="s">
        <v>43</v>
      </c>
      <c r="B9" s="25" t="n">
        <f aca="false">IF(OR(B6="", B8=""), "", IF(B6="male", (50 + 2.3 * (B8 - 60)), IF(B6="female", (45.5 + 2.3 * (B8 - 60)), "")))</f>
        <v>61.5</v>
      </c>
    </row>
    <row r="10" customFormat="false" ht="15.75" hidden="false" customHeight="true" outlineLevel="0" collapsed="false">
      <c r="A10" s="21" t="s">
        <v>44</v>
      </c>
      <c r="B10" s="25" t="n">
        <f aca="false">IF(OR(B7="", B9=""), "", B9 + (0.4 * (B7 - B9)))</f>
        <v>60.9</v>
      </c>
    </row>
    <row r="11" customFormat="false" ht="15.75" hidden="false" customHeight="true" outlineLevel="0" collapsed="false">
      <c r="A11" s="21" t="s">
        <v>45</v>
      </c>
      <c r="B11" s="25" t="n">
        <f aca="false">IF(OR(B7="", B8=""), "", B7 / (((B8*2.54) / 100) ^ 2))</f>
        <v>22.0118783432833</v>
      </c>
    </row>
    <row r="12" customFormat="false" ht="15.75" hidden="false" customHeight="true" outlineLevel="0" collapsed="false">
      <c r="A12" s="21" t="s">
        <v>46</v>
      </c>
      <c r="B12" s="24" t="str">
        <f aca="false">IF(OR(B7="", B9=""), "", IF(B7&lt;B9, "Actual Body Weight", IF(AND(B7&gt;B9, B7&lt;=(B9*1.3)), "Ideal Body Weight", IF(B7&gt;(B9*1.3), "Adjusted Body Weight", ""))))</f>
        <v>Actual Body Weight</v>
      </c>
    </row>
    <row r="13" customFormat="false" ht="15.75" hidden="false" customHeight="true" outlineLevel="0" collapsed="false">
      <c r="A13" s="21" t="s">
        <v>47</v>
      </c>
      <c r="B13" s="22" t="n">
        <v>1.2</v>
      </c>
    </row>
    <row r="14" customFormat="false" ht="15.75" hidden="false" customHeight="true" outlineLevel="0" collapsed="false">
      <c r="A14" s="21" t="s">
        <v>48</v>
      </c>
      <c r="B14" s="25" t="n">
        <f aca="false">IF(OR(B5="", B6="", B7="", B9="", B10="", B13=""), "", IF(AND(B7&lt;B9,B6="male"),((140-B5)*B7)/(B13*72),IF(AND(B7&lt;B9,B6="female"),0.85*((140-B5)*B7)/(B13*72),
IF(AND(B7&lt;=(B9*1.3),B6="male"),((140-B5)*B9)/(B13*72),IF(AND(B7&lt;=(B9*1.3),B6="female"),0.85*((140-B5)*B9)/(B13*72),
IF(AND(B7&gt;(B9*1.3),B6="male"),((140-B5)*B10)/(B13*72),IF(AND(B7&gt;(B9*1.3),B6="female"),0.85*((140-B5)*B10)/(B13*72),"")))))))</f>
        <v>55.5555555555556</v>
      </c>
      <c r="C14" s="26"/>
    </row>
    <row r="15" customFormat="false" ht="15.75" hidden="false" customHeight="true" outlineLevel="0" collapsed="false">
      <c r="A15" s="21" t="s">
        <v>49</v>
      </c>
      <c r="B15" s="25" t="n">
        <f aca="false">IF(OR(B13="", B6="", B5=""), "", 141 * MIN(B13 / IF(B6="male", 0.9, 0.7), 1) ^ IF(B6="male", -0.411, -0.329) * MAX(B13 / IF(B6="male", 0.9, 0.7), 1) ^ (-1.209) * 0.993 ^ B5)</f>
        <v>65.331569226725</v>
      </c>
    </row>
    <row r="16" customFormat="false" ht="24" hidden="false" customHeight="true" outlineLevel="0" collapsed="false">
      <c r="A16" s="27"/>
      <c r="B16" s="28"/>
    </row>
    <row r="17" customFormat="false" ht="24" hidden="false" customHeight="true" outlineLevel="0" collapsed="false">
      <c r="A17" s="27"/>
      <c r="B17" s="29" t="s">
        <v>50</v>
      </c>
    </row>
    <row r="18" customFormat="false" ht="18" hidden="false" customHeight="true" outlineLevel="0" collapsed="false">
      <c r="A18" s="17" t="s">
        <v>51</v>
      </c>
      <c r="B18" s="17"/>
    </row>
    <row r="19" customFormat="false" ht="27.75" hidden="false" customHeight="true" outlineLevel="0" collapsed="false">
      <c r="A19" s="30" t="s">
        <v>52</v>
      </c>
      <c r="B19" s="22"/>
    </row>
    <row r="20" customFormat="false" ht="27.75" hidden="false" customHeight="true" outlineLevel="0" collapsed="false">
      <c r="A20" s="30" t="s">
        <v>53</v>
      </c>
      <c r="B20" s="22"/>
      <c r="C20" s="31"/>
    </row>
    <row r="21" customFormat="false" ht="27.75" hidden="false" customHeight="true" outlineLevel="0" collapsed="false">
      <c r="A21" s="30" t="s">
        <v>54</v>
      </c>
      <c r="B21" s="22"/>
    </row>
    <row r="22" customFormat="false" ht="27.75" hidden="false" customHeight="true" outlineLevel="0" collapsed="false">
      <c r="A22" s="32" t="s">
        <v>55</v>
      </c>
      <c r="B22" s="22"/>
    </row>
    <row r="24" customFormat="false" ht="24" hidden="false" customHeight="true" outlineLevel="0" collapsed="false">
      <c r="A24" s="33" t="s">
        <v>56</v>
      </c>
      <c r="B24" s="33"/>
      <c r="C24" s="33"/>
      <c r="D24" s="33"/>
      <c r="E24" s="33"/>
      <c r="F24" s="33"/>
      <c r="G24" s="33"/>
      <c r="H24" s="33"/>
    </row>
  </sheetData>
  <sheetProtection sheet="true"/>
  <mergeCells count="6">
    <mergeCell ref="A1:H1"/>
    <mergeCell ref="A2:H2"/>
    <mergeCell ref="A3:H3"/>
    <mergeCell ref="A4:B4"/>
    <mergeCell ref="A18:B18"/>
    <mergeCell ref="A24:H24"/>
  </mergeCells>
  <dataValidations count="2">
    <dataValidation allowBlank="true" errorStyle="stop" operator="between" showDropDown="false" showErrorMessage="true" showInputMessage="true" sqref="B6" type="list">
      <formula1>"male,female"</formula1>
      <formula2>0</formula2>
    </dataValidation>
    <dataValidation allowBlank="true" errorStyle="stop" operator="between" showDropDown="false" showErrorMessage="true" showInputMessage="true" sqref="B19:B22" type="list">
      <formula1>"Yes,No"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4"/>
  <sheetViews>
    <sheetView showFormulas="false" showGridLines="false" showRowColHeaders="true" showZeros="true" rightToLeft="false" tabSelected="true" showOutlineSymbols="true" defaultGridColor="true" view="normal" topLeftCell="A3" colorId="64" zoomScale="116" zoomScaleNormal="116" zoomScalePageLayoutView="100" workbookViewId="0">
      <pane xSplit="0" ySplit="4" topLeftCell="A13" activePane="bottomLeft" state="frozen"/>
      <selection pane="topLeft" activeCell="A3" activeCellId="0" sqref="A3"/>
      <selection pane="bottomLeft" activeCell="B16" activeCellId="0" sqref="B16"/>
    </sheetView>
  </sheetViews>
  <sheetFormatPr defaultColWidth="10.83984375" defaultRowHeight="24" customHeight="false" zeroHeight="false" outlineLevelRow="0" outlineLevelCol="0"/>
  <cols>
    <col collapsed="false" customWidth="true" hidden="false" outlineLevel="0" max="1" min="1" style="34" width="34"/>
    <col collapsed="false" customWidth="true" hidden="false" outlineLevel="0" max="2" min="2" style="34" width="78"/>
    <col collapsed="false" customWidth="true" hidden="false" outlineLevel="0" max="3" min="3" style="34" width="3"/>
    <col collapsed="false" customWidth="true" hidden="false" outlineLevel="0" max="4" min="4" style="34" width="30"/>
    <col collapsed="false" customWidth="true" hidden="false" outlineLevel="0" max="5" min="5" style="34" width="60"/>
    <col collapsed="false" customWidth="false" hidden="false" outlineLevel="0" max="16384" min="6" style="34" width="10.84"/>
  </cols>
  <sheetData>
    <row r="1" customFormat="false" ht="33.75" hidden="false" customHeight="true" outlineLevel="0" collapsed="false">
      <c r="A1" s="2" t="s">
        <v>57</v>
      </c>
      <c r="B1" s="2"/>
      <c r="D1" s="35" t="s">
        <v>58</v>
      </c>
      <c r="E1" s="35"/>
    </row>
    <row r="2" customFormat="false" ht="27.75" hidden="false" customHeight="true" outlineLevel="0" collapsed="false">
      <c r="A2" s="36" t="s">
        <v>59</v>
      </c>
      <c r="B2" s="36"/>
      <c r="D2" s="37" t="s">
        <v>60</v>
      </c>
      <c r="E2" s="37"/>
    </row>
    <row r="3" customFormat="false" ht="159.75" hidden="false" customHeight="true" outlineLevel="0" collapsed="false">
      <c r="A3" s="6" t="s">
        <v>61</v>
      </c>
      <c r="B3" s="38" t="s">
        <v>62</v>
      </c>
    </row>
    <row r="4" customFormat="false" ht="18" hidden="false" customHeight="true" outlineLevel="0" collapsed="false">
      <c r="A4" s="39" t="s">
        <v>63</v>
      </c>
      <c r="B4" s="39"/>
      <c r="D4" s="40" t="s">
        <v>64</v>
      </c>
      <c r="E4" s="40" t="s">
        <v>65</v>
      </c>
    </row>
    <row r="5" customFormat="false" ht="61.5" hidden="false" customHeight="true" outlineLevel="0" collapsed="false">
      <c r="A5" s="41"/>
      <c r="B5" s="41"/>
      <c r="D5" s="42" t="s">
        <v>66</v>
      </c>
      <c r="E5" s="43" t="s">
        <v>67</v>
      </c>
    </row>
    <row r="6" customFormat="false" ht="30" hidden="false" customHeight="true" outlineLevel="0" collapsed="false">
      <c r="A6" s="44" t="s">
        <v>68</v>
      </c>
      <c r="B6" s="44"/>
      <c r="D6" s="42" t="s">
        <v>69</v>
      </c>
      <c r="E6" s="43"/>
    </row>
    <row r="7" customFormat="false" ht="43.5" hidden="false" customHeight="true" outlineLevel="0" collapsed="false">
      <c r="A7" s="45" t="s">
        <v>70</v>
      </c>
      <c r="B7" s="45" t="s">
        <v>71</v>
      </c>
      <c r="D7" s="46" t="s">
        <v>72</v>
      </c>
      <c r="E7" s="43" t="s">
        <v>73</v>
      </c>
    </row>
    <row r="8" customFormat="false" ht="43.5" hidden="false" customHeight="true" outlineLevel="0" collapsed="false">
      <c r="A8" s="47" t="s">
        <v>74</v>
      </c>
      <c r="B8" s="48" t="s">
        <v>75</v>
      </c>
      <c r="D8" s="46" t="s">
        <v>76</v>
      </c>
      <c r="E8" s="43" t="s">
        <v>77</v>
      </c>
    </row>
    <row r="9" customFormat="false" ht="43.5" hidden="false" customHeight="true" outlineLevel="0" collapsed="false">
      <c r="A9" s="47" t="s">
        <v>78</v>
      </c>
      <c r="B9" s="48" t="s">
        <v>79</v>
      </c>
      <c r="D9" s="46" t="s">
        <v>80</v>
      </c>
      <c r="E9" s="43" t="s">
        <v>81</v>
      </c>
    </row>
    <row r="10" customFormat="false" ht="43.5" hidden="false" customHeight="true" outlineLevel="0" collapsed="false">
      <c r="A10" s="47" t="s">
        <v>82</v>
      </c>
      <c r="B10" s="48" t="s">
        <v>83</v>
      </c>
      <c r="D10" s="46" t="s">
        <v>84</v>
      </c>
      <c r="E10" s="43" t="s">
        <v>85</v>
      </c>
    </row>
    <row r="11" customFormat="false" ht="43.5" hidden="false" customHeight="true" outlineLevel="0" collapsed="false">
      <c r="A11" s="49" t="s">
        <v>55</v>
      </c>
      <c r="B11" s="50" t="s">
        <v>86</v>
      </c>
      <c r="D11" s="46" t="s">
        <v>87</v>
      </c>
      <c r="E11" s="43" t="s">
        <v>88</v>
      </c>
    </row>
    <row r="12" customFormat="false" ht="61.5" hidden="false" customHeight="true" outlineLevel="0" collapsed="false">
      <c r="A12" s="49" t="s">
        <v>89</v>
      </c>
      <c r="B12" s="50" t="s">
        <v>90</v>
      </c>
      <c r="D12" s="42" t="s">
        <v>91</v>
      </c>
      <c r="E12" s="43" t="s">
        <v>92</v>
      </c>
    </row>
    <row r="13" customFormat="false" ht="61.5" hidden="false" customHeight="true" outlineLevel="0" collapsed="false">
      <c r="A13" s="41"/>
      <c r="B13" s="41"/>
      <c r="D13" s="42" t="s">
        <v>93</v>
      </c>
      <c r="E13" s="43" t="s">
        <v>94</v>
      </c>
    </row>
    <row r="14" customFormat="false" ht="61.5" hidden="false" customHeight="true" outlineLevel="0" collapsed="false">
      <c r="A14" s="50" t="s">
        <v>95</v>
      </c>
      <c r="B14" s="50"/>
      <c r="D14" s="42" t="s">
        <v>96</v>
      </c>
      <c r="E14" s="43" t="s">
        <v>97</v>
      </c>
    </row>
    <row r="15" customFormat="false" ht="15.75" hidden="false" customHeight="true" outlineLevel="0" collapsed="false">
      <c r="A15" s="44" t="s">
        <v>98</v>
      </c>
      <c r="B15" s="44"/>
      <c r="D15" s="51" t="s">
        <v>99</v>
      </c>
      <c r="E15" s="51"/>
    </row>
    <row r="16" customFormat="false" ht="15.75" hidden="false" customHeight="true" outlineLevel="0" collapsed="false">
      <c r="A16" s="52" t="s">
        <v>100</v>
      </c>
      <c r="B16" s="53" t="s">
        <v>101</v>
      </c>
    </row>
    <row r="17" customFormat="false" ht="60" hidden="false" customHeight="true" outlineLevel="0" collapsed="false">
      <c r="A17" s="52" t="s">
        <v>102</v>
      </c>
      <c r="B17" s="54" t="str">
        <f aca="false">IF(B16="metformin","IR: start 500 mg PO daily or BID; ER: start 500 mg PO daily; titrate to 2000 mg daily (or 2550 daily with 850 mg TID)",
IF(B16="glipizide","start 5 mg PO daily;  doses above 15 mg should be divided BID; max 40 mg daily",
IF(B16="glimepiride","Start 1-2 mg PO daily; max 8 mg daily",
IF(B16="glyburide","Start 2.5-5 mg PO daily, max 20 mg daily",
IF(B16="pioglitazone","Start 15-30 mg PO daily, max 45 mg daily",
IF(B16="canagliflozin (Invokana)","Start 100 mg PO daily, max 300 mg daily",
IF(B16="empagliflozin (Jardiance)","Start 10 mg PO daily; max 25 mg daily",
IF(B16="dapagliflozin (Farxiga)","start 5 mg PO daily; max 10 mg daily",
IF(B16="sitagliptin (Januvia)","100 mg PO daily; supplied as 25 mg, 50 mg, 100 mg",
IF(B16="linagliptin (Tradjenta)","5 mg PO daily",
IF(B16="saxagliptin (Onglyza)","2.5 mg or 5 mg PO daily",
IF(B16="alogliptin (Nesina)","25 mg PO daily",
IF(SEARCH("semaglutide",B16),"Start 3 mg PO daily x 30 days, then increase to 7 mg PO daily after 30 days; may be increased to 14 mg once daily (after 30 days)","")))))))))))))</f>
        <v>2.5 mg or 5 mg PO daily</v>
      </c>
    </row>
    <row r="18" customFormat="false" ht="30" hidden="false" customHeight="true" outlineLevel="0" collapsed="false">
      <c r="A18" s="52" t="s">
        <v>103</v>
      </c>
      <c r="B18" s="55" t="str">
        <f aca="false">IF(B16="metformin","IR tablets: 500 mg, 850 mg, 1000 mg. ER tablets: 500 mg, 750 mg, 1000 mg.",IF(B16="glipizide","IR tablets: 5 mg, 10 mg. ER tablets: 2.5 mg, 5 mg, 10 mg.",IF(B16="glimepiride","Tablets: 1 mg, 2 mg, 4 mg.",IF(B16="glyburide","Tablets: 1.25 mg, 2.5 mg, 5 mg. Micronized tablets: 0.75 mg, 1.5 mg, 3 mg, 6 mg.",IF(B16="pioglitazone","Tablets: 15 mg, 30 mg, 45 mg.",IF(B16="canagliflozin (Invokana)","Tablets: 100 mg, 300 mg.",IF(B16="empagliflozin (Jardiance)","Tablets: 10 mg, 25 mg.",IF(B16="dapagliflozin (Farxiga)","Tablets: 5 mg, 10 mg.",IF(B16="sitagliptin (Januvia)","Tablets: 25 mg, 50 mg, 100 mg.",IF(B16="linagliptin (Tradjenta)","Tablets: 5 mg (single strength).",IF(B16="saxagliptin (Onglyza)","Tablets: 2.5 mg, 5 mg.",IF(B16="alogliptin (Nesina)","Tablets: 6.25 mg, 12.5 mg, 25 mg.",IF(SEARCH("semaglutide",B16),"Tablets: 3 mg, 7 mg, 14 mg.","")))))))))))))</f>
        <v>Tablets: 2.5 mg, 5 mg.</v>
      </c>
    </row>
    <row r="19" customFormat="false" ht="60" hidden="false" customHeight="true" outlineLevel="0" collapsed="false">
      <c r="A19" s="52" t="s">
        <v>104</v>
      </c>
      <c r="B19" s="55" t="str">
        <f aca="false">IF(B16="metformin","eGFR ≥45: no adjustment. eGFR 30-45: do not initiate; if already on therapy, reassess risk/benefit and consider max 1000 mg/day. eGFR &lt;30: contraindicated.",IF(B16="glipizide","No FDA eGFR table. Renal impairment: reduce starting dose and titrate conservatively — increased hypoglycemia risk from accumulation of active metabolites.",IF(B16="glimepiride","No hard eGFR cutoff. Start 1 mg daily (not the usual 1-2 mg) in renal impairment; titrate conservatively. Max 8 mg/day.",IF(B16="glyburide","No FDA eGFR table. Significant renal excretion — use conservative dosing in renal impairment (increased hypoglycemia risk); commonly avoided in significant CKD.",IF(B16="pioglitazone","No dose adjustment needed at any level of renal impairment (primarily hepatic/biliary elimination).",IF(B16="canagliflozin (Invokana)","eGFR ≥60: start 100 mg, may increase to 300 mg. eGFR 45-&lt;60: max 100 mg. Do not initiate if eGFR &lt;45. Contraindicated if eGFR &lt;30.",IF(B16="empagliflozin (Jardiance)","Glycemic use: do not initiate if eGFR &lt;45; ineffective if eGFR &lt;30. CKD/HF indications: may initiate down to eGFR 20 and continue below. Contraindicated on dialysis.",IF(B16="dapagliflozin (Farxiga)","eGFR ≥45: standard dosing. eGFR 25-&lt;45: 10 mg daily (all indications). eGFR &lt;25: do not initiate; may continue 10 mg daily if already established for CKD/HF/CV risk reduction.",IF(B16="sitagliptin (Januvia)","eGFR ≥45: 100 mg daily. eGFR 30-&lt;45: 50 mg daily. eGFR &lt;30 (incl. dialysis): 25 mg daily, without regard to dialysis timing.",IF(B16="linagliptin (Tradjenta)","No dose adjustment at any level of renal impairment, including ESRD.",IF(B16="saxagliptin (Onglyza)","eGFR ≥45: no adjustment. eGFR &lt;45 (incl. ESRD/dialysis): reduce to 2.5 mg daily; give after hemodialysis session.",IF(B16="alogliptin (Nesina)","CrCl ≥60: 25 mg daily. CrCl 30-&lt;60: 12.5 mg daily. CrCl 15-&lt;30 or ESRD/dialysis: 6.25 mg daily, without regard to dialysis timing.",IF(SEARCH("semaglutide",B16),"No dose adjustment required at any level of renal impairment, including ESRD.","")))))))))))))</f>
        <v>eGFR ≥45: no adjustment. eGFR &lt;45 (incl. ESRD/dialysis): reduce to 2.5 mg daily; give after hemodialysis session.</v>
      </c>
    </row>
    <row r="20" customFormat="false" ht="24" hidden="false" customHeight="true" outlineLevel="0" collapsed="false">
      <c r="A20" s="41"/>
      <c r="B20" s="56"/>
    </row>
    <row r="21" customFormat="false" ht="18" hidden="false" customHeight="true" outlineLevel="0" collapsed="false">
      <c r="A21" s="44" t="s">
        <v>105</v>
      </c>
      <c r="B21" s="44"/>
    </row>
    <row r="22" customFormat="false" ht="15.75" hidden="false" customHeight="true" outlineLevel="0" collapsed="false">
      <c r="A22" s="52" t="s">
        <v>106</v>
      </c>
      <c r="B22" s="53" t="s">
        <v>107</v>
      </c>
    </row>
    <row r="23" customFormat="false" ht="69.75" hidden="false" customHeight="true" outlineLevel="0" collapsed="false">
      <c r="A23" s="52" t="s">
        <v>108</v>
      </c>
      <c r="B23" s="54" t="str">
        <f aca="false">IF(B22="liraglutide (Victoza)","Start 0.6 mg SQ once daily x1 week (not for glycemic control); increase to 1.2 mg once daily; may increase to max 1.8 mg once daily if needed",IF(B22="dulaglutide (Trulicity)","Start 0.75 mg SQ once weekly; may increase to 1.5 mg weekly after at least 4 weeks; if additional control needed, may increase to 3 mg weekly, then 4.5 mg weekly (each after at least 4 weeks on prior dose); max 4.5 mg weekly",IF(B22="exenatide (Byetta)","Start 5 mcg SQ twice daily within 60 minutes before morning and evening meals; after 1 month, may increase to 10 mcg SQ twice daily",IF(B22="exenatide ER (Bydureon)","2 mg SQ once weekly, any time of day, with or without meals",IF(B22="semaglutide (Ozempic)","Start 0.25 mg SQ once weekly x4 weeks (not for glycemic control); increase to 0.5 mg weekly; may increase to 1 mg weekly after at least 4 weeks; if additional control needed, may increase to max 2 mg weekly after at least 4 weeks on 1 mg",IF(B22="tirzepatide (Mounjaro)","Start 2.5 mg SQ once weekly x4 weeks (not for glycemic control); increase to 5 mg weekly; may increase in 2.5 mg increments after at least 4 weeks on current dose; max 15 mg weekly",IF(B22="pramlintide (SymlinPen)","Adjunct to mealtime insulin: start 60 mcg SQ immediately before major meals; may increase to 120 mcg as tolerated. Reduce prandial insulin doses by 50% when initiating to reduce hypoglycemia risk.","")))))))</f>
        <v>Start 0.75 mg SQ once weekly; may increase to 1.5 mg weekly after at least 4 weeks; if additional control needed, may increase to 3 mg weekly, then 4.5 mg weekly (each after at least 4 weeks on prior dose); max 4.5 mg weekly</v>
      </c>
    </row>
    <row r="24" customFormat="false" ht="30" hidden="false" customHeight="true" outlineLevel="0" collapsed="false">
      <c r="A24" s="52" t="s">
        <v>103</v>
      </c>
      <c r="B24" s="55" t="str">
        <f aca="false">IF(B22="liraglutide (Victoza)","Prefilled multi-dose pen, 18 mg/3 mL (6 mg/mL); dial doses of 0.6 mg, 1.2 mg, 1.8 mg.",IF(B22="dulaglutide (Trulicity)","Single-dose prefilled pens/syringes, 0.5 mL each: 0.75 mg, 1.5 mg, 3 mg, 4.5 mg.",IF(B22="exenatide (Byetta)","Prefilled multi-dose pens: 5 mcg/dose and 10 mcg/dose (60 doses each).",IF(B22="exenatide ER (Bydureon)","Single-dose tray/pen or BCise autoinjector, 2 mg per weekly dose.",IF(B22="semaglutide (Ozempic)","Prefilled pens: 2 mg/3 mL (0.25/0.5 mg doses), 4 mg/3 mL (1 mg doses), 8 mg/3 mL (2 mg doses).",IF(B22="tirzepatide (Mounjaro)","Single-dose pens/vials, 0.5 mL each: 2.5, 5, 7.5, 10, 12.5, 15 mg.",IF(B22="pramlintide (SymlinPen)","SymlinPen60: 15/30/45/60 mcg doses. SymlinPen120: 60/120 mcg doses.","")))))))</f>
        <v>Single-dose prefilled pens/syringes, 0.5 mL each: 0.75 mg, 1.5 mg, 3 mg, 4.5 mg.</v>
      </c>
    </row>
    <row r="25" customFormat="false" ht="60" hidden="false" customHeight="true" outlineLevel="0" collapsed="false">
      <c r="A25" s="52" t="s">
        <v>104</v>
      </c>
      <c r="B25" s="55" t="str">
        <f aca="false">IF(B22="liraglutide (Victoza)","No adjustment for mild-moderate renal impairment. Not recommended in ESRD (limited clinical experience).",IF(B22="dulaglutide (Trulicity)","No dose adjustment required across renal impairment stages, including ESRD/dialysis (limited data in ESRD).",IF(B22="exenatide (Byetta)","CrCl 50-80: no adjustment. CrCl 30-50: use caution when initiating or escalating dose. CrCl &lt;30 or ESRD: not recommended.",IF(B22="exenatide ER (Bydureon)","Not recommended if eGFR &lt;45 or ESRD. Use caution in mild impairment.",IF(B22="semaglutide (Ozempic)","No dose adjustment necessary for any degree of renal impairment, including ESRD.",IF(B22="tirzepatide (Mounjaro)","No dose adjustment necessary for any degree of renal impairment, including ESRD.",IF(B22="pramlintide (SymlinPen)","No adjustment for mild-severe renal impairment (CrCl ≥15). Not studied in ESRD — no dosing guidance available.","")))))))</f>
        <v>No dose adjustment required across renal impairment stages, including ESRD/dialysis (limited data in ESRD).</v>
      </c>
    </row>
    <row r="26" customFormat="false" ht="24" hidden="false" customHeight="true" outlineLevel="0" collapsed="false">
      <c r="A26" s="41"/>
      <c r="B26" s="41"/>
    </row>
    <row r="27" customFormat="false" ht="18" hidden="false" customHeight="true" outlineLevel="0" collapsed="false">
      <c r="A27" s="44" t="s">
        <v>109</v>
      </c>
      <c r="B27" s="44"/>
    </row>
    <row r="28" customFormat="false" ht="144.75" hidden="false" customHeight="true" outlineLevel="0" collapsed="false">
      <c r="A28" s="52" t="s">
        <v>110</v>
      </c>
      <c r="B28" s="38" t="s">
        <v>111</v>
      </c>
    </row>
    <row r="29" customFormat="false" ht="24" hidden="false" customHeight="true" outlineLevel="0" collapsed="false">
      <c r="A29" s="41"/>
      <c r="B29" s="41"/>
    </row>
    <row r="30" customFormat="false" ht="18" hidden="false" customHeight="true" outlineLevel="0" collapsed="false">
      <c r="A30" s="57" t="s">
        <v>112</v>
      </c>
      <c r="B30" s="57"/>
    </row>
    <row r="31" customFormat="false" ht="24" hidden="false" customHeight="true" outlineLevel="0" collapsed="false">
      <c r="A31" s="58"/>
      <c r="B31" s="58"/>
    </row>
    <row r="32" customFormat="false" ht="18" hidden="false" customHeight="true" outlineLevel="0" collapsed="false">
      <c r="A32" s="44" t="s">
        <v>113</v>
      </c>
      <c r="B32" s="44"/>
    </row>
    <row r="33" customFormat="false" ht="15.75" hidden="false" customHeight="true" outlineLevel="0" collapsed="false">
      <c r="A33" s="59" t="s">
        <v>114</v>
      </c>
      <c r="B33" s="59"/>
    </row>
    <row r="34" customFormat="false" ht="30" hidden="false" customHeight="true" outlineLevel="0" collapsed="false">
      <c r="A34" s="52" t="s">
        <v>115</v>
      </c>
      <c r="B34" s="38" t="s">
        <v>116</v>
      </c>
    </row>
    <row r="35" customFormat="false" ht="30" hidden="false" customHeight="true" outlineLevel="0" collapsed="false">
      <c r="A35" s="52" t="s">
        <v>117</v>
      </c>
      <c r="B35" s="38" t="s">
        <v>118</v>
      </c>
    </row>
    <row r="36" customFormat="false" ht="45" hidden="false" customHeight="true" outlineLevel="0" collapsed="false">
      <c r="A36" s="52" t="s">
        <v>119</v>
      </c>
      <c r="B36" s="38" t="s">
        <v>120</v>
      </c>
    </row>
    <row r="37" customFormat="false" ht="60" hidden="false" customHeight="true" outlineLevel="0" collapsed="false">
      <c r="A37" s="52" t="s">
        <v>121</v>
      </c>
      <c r="B37" s="38" t="s">
        <v>122</v>
      </c>
    </row>
    <row r="38" customFormat="false" ht="60" hidden="false" customHeight="true" outlineLevel="0" collapsed="false">
      <c r="A38" s="52" t="s">
        <v>123</v>
      </c>
      <c r="B38" s="38" t="s">
        <v>124</v>
      </c>
    </row>
    <row r="39" customFormat="false" ht="45" hidden="false" customHeight="true" outlineLevel="0" collapsed="false">
      <c r="A39" s="49" t="s">
        <v>125</v>
      </c>
      <c r="B39" s="50" t="s">
        <v>126</v>
      </c>
    </row>
    <row r="40" customFormat="false" ht="15.75" hidden="false" customHeight="true" outlineLevel="0" collapsed="false">
      <c r="A40" s="59" t="s">
        <v>127</v>
      </c>
      <c r="B40" s="59"/>
    </row>
    <row r="41" customFormat="false" ht="49.5" hidden="false" customHeight="true" outlineLevel="0" collapsed="false">
      <c r="A41" s="52" t="s">
        <v>115</v>
      </c>
      <c r="B41" s="38" t="s">
        <v>128</v>
      </c>
    </row>
    <row r="42" customFormat="false" ht="60" hidden="false" customHeight="true" outlineLevel="0" collapsed="false">
      <c r="A42" s="49" t="s">
        <v>129</v>
      </c>
      <c r="B42" s="50" t="s">
        <v>130</v>
      </c>
    </row>
    <row r="43" customFormat="false" ht="45" hidden="false" customHeight="true" outlineLevel="0" collapsed="false">
      <c r="A43" s="49" t="s">
        <v>131</v>
      </c>
      <c r="B43" s="50" t="s">
        <v>132</v>
      </c>
    </row>
    <row r="44" customFormat="false" ht="99.75" hidden="false" customHeight="true" outlineLevel="0" collapsed="false">
      <c r="A44" s="52" t="s">
        <v>121</v>
      </c>
      <c r="B44" s="38" t="s">
        <v>133</v>
      </c>
    </row>
    <row r="46" customFormat="false" ht="18" hidden="false" customHeight="true" outlineLevel="0" collapsed="false">
      <c r="A46" s="44" t="s">
        <v>134</v>
      </c>
      <c r="B46" s="44"/>
    </row>
    <row r="47" customFormat="false" ht="54.75" hidden="false" customHeight="true" outlineLevel="0" collapsed="false">
      <c r="A47" s="49" t="s">
        <v>135</v>
      </c>
      <c r="B47" s="50" t="s">
        <v>136</v>
      </c>
    </row>
    <row r="48" customFormat="false" ht="54.75" hidden="false" customHeight="true" outlineLevel="0" collapsed="false">
      <c r="A48" s="49" t="s">
        <v>137</v>
      </c>
      <c r="B48" s="50" t="s">
        <v>138</v>
      </c>
    </row>
    <row r="49" customFormat="false" ht="54.75" hidden="false" customHeight="true" outlineLevel="0" collapsed="false">
      <c r="A49" s="49" t="s">
        <v>139</v>
      </c>
      <c r="B49" s="50" t="s">
        <v>140</v>
      </c>
    </row>
    <row r="51" customFormat="false" ht="18" hidden="false" customHeight="true" outlineLevel="0" collapsed="false">
      <c r="A51" s="44" t="s">
        <v>141</v>
      </c>
      <c r="B51" s="44"/>
    </row>
    <row r="52" customFormat="false" ht="54.75" hidden="false" customHeight="true" outlineLevel="0" collapsed="false">
      <c r="A52" s="60" t="s">
        <v>142</v>
      </c>
      <c r="B52" s="60"/>
    </row>
    <row r="54" customFormat="false" ht="45" hidden="false" customHeight="true" outlineLevel="0" collapsed="false">
      <c r="A54" s="61" t="s">
        <v>143</v>
      </c>
      <c r="B54" s="61"/>
    </row>
  </sheetData>
  <sheetProtection sheet="true"/>
  <mergeCells count="19">
    <mergeCell ref="A1:B1"/>
    <mergeCell ref="D1:E1"/>
    <mergeCell ref="A2:B2"/>
    <mergeCell ref="D2:E2"/>
    <mergeCell ref="A4:B4"/>
    <mergeCell ref="A6:B6"/>
    <mergeCell ref="A14:B14"/>
    <mergeCell ref="A15:B15"/>
    <mergeCell ref="D15:E15"/>
    <mergeCell ref="A21:B21"/>
    <mergeCell ref="A27:B27"/>
    <mergeCell ref="A30:B30"/>
    <mergeCell ref="A32:B32"/>
    <mergeCell ref="A33:B33"/>
    <mergeCell ref="A40:B40"/>
    <mergeCell ref="A46:B46"/>
    <mergeCell ref="A51:B51"/>
    <mergeCell ref="A52:B52"/>
    <mergeCell ref="A54:B54"/>
  </mergeCells>
  <dataValidations count="2">
    <dataValidation allowBlank="true" errorStyle="stop" operator="between" showDropDown="false" showErrorMessage="true" showInputMessage="true" sqref="B22" type="list">
      <formula1>"liraglutide (Victoza),dulaglutide (Trulicity),exenatide (Byetta),exenatide ER (Bydureon),semaglutide (Ozempic),tirzepatide (Mounjaro),pramlintide (SymlinPen)"</formula1>
      <formula2>0</formula2>
    </dataValidation>
    <dataValidation allowBlank="true" errorStyle="stop" operator="between" showDropDown="false" showErrorMessage="true" showInputMessage="true" sqref="B16" type="list">
      <formula1>"metformin,glipizide,glimepiride,glyburide,pioglitazone,canagliflozin (Invokana),empagliflozin (Jardiance),dapagliflozin (Farxiga),sitagliptin (Januvia),linagliptin (Tradjenta),saxagliptin (Onglyza),alogliptin (Nesina),semaglutide (Rybelsus)   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5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3" topLeftCell="A4" activePane="bottomLeft" state="frozen"/>
      <selection pane="topLeft" activeCell="A1" activeCellId="0" sqref="A1"/>
      <selection pane="bottomLeft" activeCell="B41" activeCellId="0" sqref="B41"/>
    </sheetView>
  </sheetViews>
  <sheetFormatPr defaultColWidth="10.83984375" defaultRowHeight="24" customHeight="false" zeroHeight="false" outlineLevelRow="0" outlineLevelCol="0"/>
  <cols>
    <col collapsed="false" customWidth="true" hidden="false" outlineLevel="0" max="1" min="1" style="34" width="42"/>
    <col collapsed="false" customWidth="true" hidden="false" outlineLevel="0" max="2" min="2" style="34" width="26"/>
    <col collapsed="false" customWidth="true" hidden="false" outlineLevel="0" max="3" min="3" style="34" width="8"/>
    <col collapsed="false" customWidth="true" hidden="false" outlineLevel="0" max="4" min="4" style="34" width="30"/>
    <col collapsed="false" customWidth="true" hidden="false" outlineLevel="0" max="5" min="5" style="34" width="3"/>
    <col collapsed="false" customWidth="true" hidden="false" outlineLevel="0" max="6" min="6" style="34" width="32"/>
    <col collapsed="false" customWidth="true" hidden="false" outlineLevel="0" max="7" min="7" style="34" width="55"/>
    <col collapsed="false" customWidth="false" hidden="false" outlineLevel="0" max="16384" min="8" style="34" width="10.84"/>
  </cols>
  <sheetData>
    <row r="1" customFormat="false" ht="19.5" hidden="false" customHeight="true" outlineLevel="0" collapsed="false">
      <c r="A1" s="2" t="s">
        <v>144</v>
      </c>
      <c r="B1" s="2"/>
      <c r="C1" s="2"/>
      <c r="D1" s="2"/>
      <c r="F1" s="35" t="s">
        <v>145</v>
      </c>
      <c r="G1" s="35"/>
    </row>
    <row r="2" customFormat="false" ht="25.5" hidden="false" customHeight="true" outlineLevel="0" collapsed="false">
      <c r="A2" s="3" t="s">
        <v>146</v>
      </c>
      <c r="B2" s="3"/>
      <c r="C2" s="3"/>
      <c r="D2" s="3"/>
      <c r="F2" s="37" t="s">
        <v>147</v>
      </c>
      <c r="G2" s="37"/>
    </row>
    <row r="3" customFormat="false" ht="15.75" hidden="false" customHeight="true" outlineLevel="0" collapsed="false">
      <c r="A3" s="62" t="s">
        <v>29</v>
      </c>
      <c r="B3" s="62"/>
      <c r="C3" s="62"/>
      <c r="D3" s="62"/>
    </row>
    <row r="4" customFormat="false" ht="15.75" hidden="false" customHeight="true" outlineLevel="0" collapsed="false">
      <c r="F4" s="40" t="s">
        <v>148</v>
      </c>
      <c r="G4" s="40" t="s">
        <v>149</v>
      </c>
    </row>
    <row r="5" customFormat="false" ht="57.75" hidden="false" customHeight="true" outlineLevel="0" collapsed="false">
      <c r="A5" s="44" t="s">
        <v>150</v>
      </c>
      <c r="B5" s="44"/>
      <c r="C5" s="44"/>
      <c r="D5" s="44"/>
      <c r="F5" s="42" t="s">
        <v>151</v>
      </c>
      <c r="G5" s="43" t="s">
        <v>152</v>
      </c>
    </row>
    <row r="6" customFormat="false" ht="42" hidden="false" customHeight="true" outlineLevel="0" collapsed="false">
      <c r="A6" s="63" t="s">
        <v>153</v>
      </c>
      <c r="B6" s="63"/>
      <c r="C6" s="63"/>
      <c r="D6" s="63"/>
      <c r="F6" s="42" t="s">
        <v>154</v>
      </c>
      <c r="G6" s="43" t="s">
        <v>155</v>
      </c>
    </row>
    <row r="7" customFormat="false" ht="42" hidden="false" customHeight="true" outlineLevel="0" collapsed="false">
      <c r="A7" s="52" t="s">
        <v>156</v>
      </c>
      <c r="B7" s="36" t="s">
        <v>157</v>
      </c>
      <c r="C7" s="36"/>
      <c r="D7" s="36"/>
      <c r="F7" s="42" t="s">
        <v>158</v>
      </c>
      <c r="G7" s="43" t="s">
        <v>159</v>
      </c>
    </row>
    <row r="8" customFormat="false" ht="42" hidden="false" customHeight="true" outlineLevel="0" collapsed="false">
      <c r="B8" s="54" t="str">
        <f aca="false">CONCATENATE(('Patient Information'!B7*0.4)," - ",('Patient Information'!B7*1)," units q daily")</f>
        <v>24 - 60 units q daily</v>
      </c>
      <c r="C8" s="54"/>
      <c r="D8" s="54"/>
      <c r="F8" s="42" t="s">
        <v>160</v>
      </c>
      <c r="G8" s="43" t="s">
        <v>161</v>
      </c>
    </row>
    <row r="9" customFormat="false" ht="42" hidden="false" customHeight="true" outlineLevel="0" collapsed="false">
      <c r="A9" s="64" t="s">
        <v>162</v>
      </c>
      <c r="B9" s="64"/>
      <c r="C9" s="64"/>
      <c r="D9" s="64"/>
      <c r="F9" s="42" t="s">
        <v>163</v>
      </c>
      <c r="G9" s="43" t="s">
        <v>164</v>
      </c>
    </row>
    <row r="10" customFormat="false" ht="42" hidden="false" customHeight="true" outlineLevel="0" collapsed="false">
      <c r="A10" s="65" t="s">
        <v>165</v>
      </c>
      <c r="B10" s="54" t="str">
        <f aca="false">IF(OR(ISBLANK('Patient Information'!B7)), "", CONCATENATE(ROUND(0.5 * ('Patient Information'!B7 * 0.4), 0), " - ", ROUND((0.5 * 'Patient Information'!B7 * 1), 0), " units of basal q daily"))</f>
        <v>12 - 30 units of basal q daily</v>
      </c>
      <c r="C10" s="66" t="s">
        <v>166</v>
      </c>
      <c r="D10" s="54" t="str">
        <f aca="false">IF(ISBLANK('Patient Information'!B7), "", CONCATENATE(ROUND((0.5 * ('Patient Information'!B7 * 0.4)) / 3, 0), " - ", ROUND(((0.5 * 'Patient Information'!B7 * 1) / 3), 0), " units of bolus TID with meals"))</f>
        <v>4 - 10 units of bolus TID with meals</v>
      </c>
      <c r="F10" s="42" t="s">
        <v>167</v>
      </c>
      <c r="G10" s="43" t="s">
        <v>168</v>
      </c>
    </row>
    <row r="11" customFormat="false" ht="57.75" hidden="false" customHeight="true" outlineLevel="0" collapsed="false">
      <c r="A11" s="65" t="s">
        <v>169</v>
      </c>
      <c r="B11" s="54" t="str">
        <f aca="false">IF(ISBLANK('Patient Information'!B7), "", CONCATENATE(ROUND(0.667 * ('Patient Information'!B7 * 0.4), 0), " - ", ROUND(0.667 * ('Patient Information'!B7 * 1), 0), " units of NPH BID"))</f>
        <v>16 - 40 units of NPH BID</v>
      </c>
      <c r="C11" s="66" t="s">
        <v>166</v>
      </c>
      <c r="D11" s="54" t="str">
        <f aca="false">IF(ISBLANK('Patient Information'!B7), "", CONCATENATE(ROUND(0.334 * ('Patient Information'!B7 * 0.4), 0), " - ", ROUND(0.334 * ('Patient Information'!B7 * 1), 0), " units of regular BID with meals"))</f>
        <v>8 - 20 units of regular BID with meals</v>
      </c>
      <c r="F11" s="42" t="s">
        <v>170</v>
      </c>
      <c r="G11" s="43" t="s">
        <v>171</v>
      </c>
    </row>
    <row r="12" customFormat="false" ht="57.75" hidden="false" customHeight="true" outlineLevel="0" collapsed="false">
      <c r="A12" s="65" t="s">
        <v>172</v>
      </c>
      <c r="B12" s="54" t="str">
        <f aca="false">IF(ISBLANK('Patient Information'!B7), "", CONCATENATE(ROUND(('Patient Information'!B7 * 0.5) * 0.667, 0), " units of 70/30 AM + ", ROUND(('Patient Information'!B7 * 0.5) * 0.334, 0), " units of 70/30 PM with meals"))</f>
        <v>20 units of 70/30 AM + 10 units of 70/30 PM with meals</v>
      </c>
      <c r="C12" s="54"/>
      <c r="D12" s="54"/>
      <c r="F12" s="42" t="s">
        <v>173</v>
      </c>
      <c r="G12" s="43" t="s">
        <v>174</v>
      </c>
    </row>
    <row r="13" customFormat="false" ht="42" hidden="false" customHeight="true" outlineLevel="0" collapsed="false">
      <c r="A13" s="67" t="s">
        <v>175</v>
      </c>
      <c r="B13" s="67"/>
      <c r="C13" s="67"/>
      <c r="D13" s="67"/>
      <c r="F13" s="42" t="s">
        <v>176</v>
      </c>
      <c r="G13" s="43" t="s">
        <v>177</v>
      </c>
    </row>
    <row r="14" customFormat="false" ht="57.75" hidden="false" customHeight="true" outlineLevel="0" collapsed="false">
      <c r="A14" s="52" t="s">
        <v>178</v>
      </c>
      <c r="B14" s="36" t="s">
        <v>179</v>
      </c>
      <c r="C14" s="36"/>
      <c r="D14" s="36"/>
      <c r="F14" s="42" t="s">
        <v>180</v>
      </c>
      <c r="G14" s="43" t="s">
        <v>181</v>
      </c>
    </row>
    <row r="15" customFormat="false" ht="42" hidden="false" customHeight="true" outlineLevel="0" collapsed="false">
      <c r="B15" s="38" t="s">
        <v>182</v>
      </c>
      <c r="C15" s="68" t="s">
        <v>183</v>
      </c>
      <c r="D15" s="54" t="str">
        <f aca="false">IF(ISBLANK('Patient Information'!B7), "", CONCATENATE(('Patient Information'!B7*0.1)," - ",('Patient Information'!B7*0.2)," units q daily"))</f>
        <v>6 - 12 units q daily</v>
      </c>
      <c r="F15" s="42" t="s">
        <v>184</v>
      </c>
      <c r="G15" s="43" t="s">
        <v>185</v>
      </c>
    </row>
    <row r="16" customFormat="false" ht="7.5" hidden="false" customHeight="true" outlineLevel="0" collapsed="false">
      <c r="A16" s="69"/>
      <c r="B16" s="69"/>
      <c r="C16" s="69"/>
      <c r="D16" s="69"/>
      <c r="E16" s="70"/>
    </row>
    <row r="17" customFormat="false" ht="19.5" hidden="false" customHeight="true" outlineLevel="0" collapsed="false">
      <c r="A17" s="44" t="s">
        <v>186</v>
      </c>
      <c r="B17" s="44"/>
      <c r="C17" s="44"/>
      <c r="D17" s="44"/>
      <c r="F17" s="35" t="s">
        <v>187</v>
      </c>
      <c r="G17" s="35"/>
    </row>
    <row r="18" customFormat="false" ht="25.5" hidden="false" customHeight="true" outlineLevel="0" collapsed="false">
      <c r="A18" s="71" t="s">
        <v>188</v>
      </c>
      <c r="B18" s="53"/>
      <c r="C18" s="53"/>
      <c r="D18" s="53"/>
      <c r="F18" s="37" t="s">
        <v>189</v>
      </c>
      <c r="G18" s="37"/>
    </row>
    <row r="19" customFormat="false" ht="15.75" hidden="false" customHeight="true" outlineLevel="0" collapsed="false">
      <c r="A19" s="52" t="s">
        <v>190</v>
      </c>
      <c r="B19" s="36" t="s">
        <v>191</v>
      </c>
      <c r="C19" s="36"/>
      <c r="D19" s="36"/>
      <c r="F19" s="40" t="s">
        <v>192</v>
      </c>
      <c r="G19" s="40" t="s">
        <v>33</v>
      </c>
    </row>
    <row r="20" customFormat="false" ht="42" hidden="false" customHeight="true" outlineLevel="0" collapsed="false">
      <c r="B20" s="54" t="s">
        <v>193</v>
      </c>
      <c r="C20" s="68" t="s">
        <v>183</v>
      </c>
      <c r="D20" s="54" t="str">
        <f aca="false">IF(ISBLANK(B18), "", CONCATENATE(ROUND(B18*0.1, 0), " units per day with largest meal"))</f>
        <v/>
      </c>
      <c r="F20" s="42" t="s">
        <v>194</v>
      </c>
      <c r="G20" s="43" t="s">
        <v>195</v>
      </c>
    </row>
    <row r="21" customFormat="false" ht="42" hidden="false" customHeight="true" outlineLevel="0" collapsed="false">
      <c r="A21" s="71" t="s">
        <v>196</v>
      </c>
      <c r="B21" s="53"/>
      <c r="C21" s="53"/>
      <c r="D21" s="53"/>
      <c r="F21" s="42" t="s">
        <v>197</v>
      </c>
      <c r="G21" s="43" t="s">
        <v>198</v>
      </c>
    </row>
    <row r="22" customFormat="false" ht="42" hidden="false" customHeight="true" outlineLevel="0" collapsed="false">
      <c r="A22" s="52" t="s">
        <v>199</v>
      </c>
      <c r="B22" s="54" t="str">
        <f aca="false">IF(OR(ISBLANK(B21),ISBLANK(B18)),"",IF(B21="rapid",CONCATENATE(ROUND(1800/B18,0)," mg/dL lowered by 1 unit of rapid"),IF(B21="regular",CONCATENATE(ROUND(1500/B18,0)," mg/dL of glucose lowered by 1 unit of regular"),"")))</f>
        <v/>
      </c>
      <c r="C22" s="54"/>
      <c r="D22" s="54"/>
      <c r="F22" s="42" t="s">
        <v>200</v>
      </c>
      <c r="G22" s="43" t="s">
        <v>201</v>
      </c>
    </row>
    <row r="23" customFormat="false" ht="42" hidden="false" customHeight="true" outlineLevel="0" collapsed="false">
      <c r="A23" s="52" t="s">
        <v>202</v>
      </c>
      <c r="B23" s="54" t="str">
        <f aca="false">IF(OR(ISBLANK(B21), ISBLANK(B18)), "", IF(B21="rapid", CONCATENATE(ROUND(500/B18, 0), " grams of carb covered by 1 unit of rapid"), IF(B21="regular", CONCATENATE(ROUND(450/B18, 0), " grams of carb covered by 1 unit of regular"), "")))</f>
        <v/>
      </c>
      <c r="C23" s="54"/>
      <c r="D23" s="54"/>
      <c r="F23" s="42" t="s">
        <v>203</v>
      </c>
      <c r="G23" s="43" t="s">
        <v>204</v>
      </c>
    </row>
    <row r="24" customFormat="false" ht="57.75" hidden="false" customHeight="true" outlineLevel="0" collapsed="false">
      <c r="A24" s="52" t="s">
        <v>205</v>
      </c>
      <c r="B24" s="36" t="s">
        <v>206</v>
      </c>
      <c r="C24" s="36"/>
      <c r="D24" s="36"/>
      <c r="F24" s="42" t="s">
        <v>207</v>
      </c>
      <c r="G24" s="43" t="s">
        <v>208</v>
      </c>
    </row>
    <row r="25" customFormat="false" ht="42" hidden="false" customHeight="true" outlineLevel="0" collapsed="false">
      <c r="A25" s="52" t="s">
        <v>209</v>
      </c>
      <c r="B25" s="53"/>
      <c r="C25" s="53"/>
      <c r="D25" s="53"/>
      <c r="F25" s="42" t="s">
        <v>210</v>
      </c>
      <c r="G25" s="43" t="s">
        <v>211</v>
      </c>
    </row>
    <row r="26" customFormat="false" ht="57.75" hidden="false" customHeight="true" outlineLevel="0" collapsed="false">
      <c r="A26" s="52" t="s">
        <v>212</v>
      </c>
      <c r="B26" s="53"/>
      <c r="C26" s="53"/>
      <c r="D26" s="53"/>
      <c r="F26" s="42" t="s">
        <v>213</v>
      </c>
      <c r="G26" s="43" t="s">
        <v>214</v>
      </c>
    </row>
    <row r="27" customFormat="false" ht="42" hidden="false" customHeight="true" outlineLevel="0" collapsed="false">
      <c r="A27" s="52" t="s">
        <v>215</v>
      </c>
      <c r="B27" s="54" t="str">
        <f aca="false">IF(OR(ISBLANK(B21), ISBLANK(B25), ISBLANK(B26), ISBLANK(B18)), "", IF(B21="rapid", ROUND((B25-B26)/(1800/B18), 0) &amp; " units of rapid insulin", IF(B21="regular", ROUND((B25-B26)/(1500/B18), 0) &amp; " units of regular insulin", "")))</f>
        <v/>
      </c>
      <c r="C27" s="54"/>
      <c r="D27" s="54"/>
      <c r="F27" s="42" t="s">
        <v>216</v>
      </c>
      <c r="G27" s="43" t="s">
        <v>217</v>
      </c>
    </row>
    <row r="28" customFormat="false" ht="25.5" hidden="false" customHeight="true" outlineLevel="0" collapsed="false">
      <c r="A28" s="69"/>
      <c r="B28" s="72"/>
      <c r="C28" s="72"/>
      <c r="D28" s="72"/>
      <c r="E28" s="70"/>
      <c r="F28" s="51" t="s">
        <v>218</v>
      </c>
      <c r="G28" s="51"/>
    </row>
    <row r="29" customFormat="false" ht="18" hidden="false" customHeight="true" outlineLevel="0" collapsed="false">
      <c r="A29" s="44" t="s">
        <v>219</v>
      </c>
      <c r="B29" s="44"/>
      <c r="C29" s="44"/>
      <c r="D29" s="44"/>
    </row>
    <row r="30" customFormat="false" ht="24" hidden="false" customHeight="true" outlineLevel="0" collapsed="false">
      <c r="A30" s="73" t="s">
        <v>220</v>
      </c>
      <c r="B30" s="74"/>
      <c r="C30" s="74"/>
      <c r="D30" s="74"/>
    </row>
    <row r="31" customFormat="false" ht="15.75" hidden="false" customHeight="true" outlineLevel="0" collapsed="false">
      <c r="A31" s="52" t="s">
        <v>221</v>
      </c>
      <c r="B31" s="53"/>
      <c r="C31" s="53"/>
      <c r="D31" s="53"/>
    </row>
    <row r="32" customFormat="false" ht="15.75" hidden="false" customHeight="true" outlineLevel="0" collapsed="false">
      <c r="A32" s="52" t="s">
        <v>222</v>
      </c>
      <c r="B32" s="53"/>
      <c r="C32" s="53"/>
      <c r="D32" s="53"/>
    </row>
    <row r="33" customFormat="false" ht="15.75" hidden="false" customHeight="true" outlineLevel="0" collapsed="false">
      <c r="A33" s="52" t="s">
        <v>223</v>
      </c>
      <c r="B33" s="53"/>
      <c r="C33" s="53"/>
      <c r="D33" s="53"/>
    </row>
    <row r="34" customFormat="false" ht="15.75" hidden="false" customHeight="true" outlineLevel="0" collapsed="false">
      <c r="A34" s="52" t="s">
        <v>224</v>
      </c>
      <c r="B34" s="54" t="str">
        <f aca="false">IF(OR(ISBLANK(B31), ISBLANK(B32), ISBLANK(B33)), "",
   IF(AND(B31="NPH BID", NOT(OR(B33="NPH BID", B33="Insulin degludec (Tresiba)", B33="Insulin detemir (Levemir)"))), B32*0.8,
      IF(AND(NOT(OR(B31="NPH BID", B31="Insulin detemir (Levemir)", B31="Insulin degludec (Tresiba)")), OR(B33="NPH BID", B33="Insulin detemir (Levemir)", B33="Insulin degludec (Tresiba)")), B32/0.8,
         IF(AND(B31="Insulin glargine (Toujeo)", NOT(OR(B33="Insulin glargine (Toujeo)", B33="Insulin degludec (Tresiba)"))), B32*0.8,
            IF(AND(NOT(OR(B31="Insulin glargine (Toujeo)", B31="Insulin degludec (Tresiba)")), OR(B33="Insulin glargine (Toujeo)", B33="Insulin degludec (Tresiba)")), B32/0.8,
               IF(AND(OR(B31="Regular (R)", B31="Novolin"), NOT(OR(B33="Regular (R)", B33="Novolin", B33="Regular (R) or Novolin"))), B32*0.8,
                  IF(AND(NOT(OR(B31="Regular (R)", B31="Novolin")), OR(B33="Regular (R)", B33="Novolin", B33="Regular (R) or Novolin")), B32/0.8, B32)
               )
            )
         )
      )
   )
)</f>
        <v/>
      </c>
      <c r="C34" s="54"/>
      <c r="D34" s="54"/>
    </row>
    <row r="35" customFormat="false" ht="24" hidden="false" customHeight="true" outlineLevel="0" collapsed="false">
      <c r="A35" s="73" t="s">
        <v>225</v>
      </c>
      <c r="B35" s="74"/>
      <c r="C35" s="74"/>
      <c r="D35" s="74"/>
    </row>
    <row r="36" customFormat="false" ht="15.75" hidden="false" customHeight="true" outlineLevel="0" collapsed="false">
      <c r="A36" s="52" t="s">
        <v>226</v>
      </c>
      <c r="B36" s="53"/>
      <c r="C36" s="53"/>
      <c r="D36" s="53"/>
    </row>
    <row r="37" customFormat="false" ht="15.75" hidden="false" customHeight="true" outlineLevel="0" collapsed="false">
      <c r="A37" s="52" t="s">
        <v>222</v>
      </c>
      <c r="B37" s="53"/>
      <c r="C37" s="53"/>
      <c r="D37" s="53"/>
    </row>
    <row r="38" customFormat="false" ht="15.75" hidden="false" customHeight="true" outlineLevel="0" collapsed="false">
      <c r="A38" s="52" t="s">
        <v>227</v>
      </c>
      <c r="B38" s="53"/>
      <c r="C38" s="53"/>
      <c r="D38" s="53"/>
    </row>
    <row r="39" customFormat="false" ht="15.75" hidden="false" customHeight="true" outlineLevel="0" collapsed="false">
      <c r="A39" s="52" t="s">
        <v>228</v>
      </c>
      <c r="B39" s="54" t="str">
        <f aca="false">IF(OR(ISBLANK(B36), ISBLANK(B37), ISBLANK(B38)), "",
   IF(AND(B36="Regular (R)", OR(B38="Insulin aspart (Novolog)", B38="Insulin lispro (Humalog)", B38="Insulin glulisine (Apidra)")), B37*0.8,
      IF(AND(OR(B36="Insulin aspart (Novolog)", B36="Insulin lispro (Humalog)", B36="Insulin glulisine (Apidra)"), B38="Regular (R)"), B37/0.8, B37)
   )
)</f>
        <v/>
      </c>
      <c r="C39" s="54"/>
      <c r="D39" s="54"/>
    </row>
    <row r="40" customFormat="false" ht="24" hidden="false" customHeight="true" outlineLevel="0" collapsed="false">
      <c r="A40" s="73" t="s">
        <v>229</v>
      </c>
      <c r="B40" s="74"/>
      <c r="C40" s="74"/>
      <c r="D40" s="74"/>
    </row>
    <row r="41" customFormat="false" ht="15.75" hidden="false" customHeight="true" outlineLevel="0" collapsed="false">
      <c r="A41" s="52" t="s">
        <v>230</v>
      </c>
      <c r="B41" s="53"/>
      <c r="C41" s="53"/>
      <c r="D41" s="53"/>
    </row>
    <row r="42" customFormat="false" ht="15.75" hidden="false" customHeight="true" outlineLevel="0" collapsed="false">
      <c r="A42" s="52" t="s">
        <v>222</v>
      </c>
      <c r="B42" s="53"/>
      <c r="C42" s="53"/>
      <c r="D42" s="53"/>
    </row>
    <row r="43" customFormat="false" ht="15.75" hidden="false" customHeight="true" outlineLevel="0" collapsed="false">
      <c r="A43" s="52" t="s">
        <v>231</v>
      </c>
      <c r="B43" s="53"/>
      <c r="C43" s="53"/>
      <c r="D43" s="53"/>
    </row>
    <row r="44" customFormat="false" ht="15.75" hidden="false" customHeight="true" outlineLevel="0" collapsed="false">
      <c r="A44" s="52" t="s">
        <v>224</v>
      </c>
      <c r="B44" s="54" t="str">
        <f aca="false">IF(OR(ISBLANK(B41), ISBLANK(B42), ISBLANK(B43)), "", IF(AND(B41="NPH BID", NOT(OR(B43="Insulin degludec (Tresiba)", B43="Insulin detemir (Levemir)"))), B42*0.8, IF(AND(B41="Insulin glargine (Toujeo)", NOT(B43="Insulin degludec (Tresiba)")), B42*0.8, B42)))</f>
        <v/>
      </c>
      <c r="C44" s="54"/>
      <c r="D44" s="54"/>
    </row>
    <row r="46" customFormat="false" ht="18" hidden="false" customHeight="true" outlineLevel="0" collapsed="false">
      <c r="A46" s="75" t="s">
        <v>232</v>
      </c>
      <c r="B46" s="75"/>
      <c r="C46" s="75"/>
      <c r="D46" s="75"/>
    </row>
    <row r="47" customFormat="false" ht="45" hidden="false" customHeight="true" outlineLevel="0" collapsed="false">
      <c r="A47" s="49" t="s">
        <v>233</v>
      </c>
      <c r="B47" s="50" t="s">
        <v>234</v>
      </c>
      <c r="C47" s="50"/>
      <c r="D47" s="50"/>
    </row>
    <row r="48" customFormat="false" ht="30" hidden="false" customHeight="true" outlineLevel="0" collapsed="false">
      <c r="A48" s="49" t="s">
        <v>235</v>
      </c>
      <c r="B48" s="50" t="s">
        <v>236</v>
      </c>
      <c r="C48" s="50"/>
      <c r="D48" s="50"/>
    </row>
    <row r="49" customFormat="false" ht="30" hidden="false" customHeight="true" outlineLevel="0" collapsed="false">
      <c r="A49" s="49" t="s">
        <v>237</v>
      </c>
      <c r="B49" s="53"/>
      <c r="C49" s="53"/>
      <c r="D49" s="53"/>
    </row>
    <row r="50" customFormat="false" ht="18" hidden="false" customHeight="true" outlineLevel="0" collapsed="false">
      <c r="A50" s="49" t="s">
        <v>238</v>
      </c>
      <c r="B50" s="49" t="str">
        <f aca="false">IF(ISBLANK(B49),"",CONCATENATE(ROUND((1.5*B49*7)/10,0)*10," units (one-time starting dose)"))</f>
        <v/>
      </c>
      <c r="C50" s="49"/>
      <c r="D50" s="49"/>
    </row>
    <row r="51" customFormat="false" ht="18" hidden="false" customHeight="true" outlineLevel="0" collapsed="false">
      <c r="A51" s="49" t="s">
        <v>239</v>
      </c>
      <c r="B51" s="49" t="str">
        <f aca="false">IF(ISBLANK(B49),"",CONCATENATE(ROUND((B49*7)/10,0)*10," units"))</f>
        <v/>
      </c>
      <c r="C51" s="49"/>
      <c r="D51" s="49"/>
    </row>
    <row r="52" customFormat="false" ht="30" hidden="false" customHeight="true" outlineLevel="0" collapsed="false">
      <c r="A52" s="49" t="s">
        <v>240</v>
      </c>
      <c r="B52" s="50" t="s">
        <v>241</v>
      </c>
      <c r="C52" s="50"/>
      <c r="D52" s="50"/>
    </row>
    <row r="53" customFormat="false" ht="69.75" hidden="false" customHeight="true" outlineLevel="0" collapsed="false">
      <c r="A53" s="49" t="s">
        <v>242</v>
      </c>
      <c r="B53" s="50" t="s">
        <v>243</v>
      </c>
      <c r="C53" s="50"/>
      <c r="D53" s="50"/>
    </row>
    <row r="55" customFormat="false" ht="30" hidden="false" customHeight="true" outlineLevel="0" collapsed="false">
      <c r="A55" s="61" t="s">
        <v>244</v>
      </c>
      <c r="B55" s="61"/>
      <c r="C55" s="61"/>
      <c r="D55" s="61"/>
    </row>
  </sheetData>
  <sheetProtection sheet="true"/>
  <mergeCells count="48">
    <mergeCell ref="A1:D1"/>
    <mergeCell ref="F1:G1"/>
    <mergeCell ref="A2:D2"/>
    <mergeCell ref="F2:G2"/>
    <mergeCell ref="A3:D3"/>
    <mergeCell ref="A5:D5"/>
    <mergeCell ref="A6:D6"/>
    <mergeCell ref="B7:D7"/>
    <mergeCell ref="B8:D8"/>
    <mergeCell ref="A9:D9"/>
    <mergeCell ref="B12:D12"/>
    <mergeCell ref="A13:D13"/>
    <mergeCell ref="B14:D14"/>
    <mergeCell ref="A17:D17"/>
    <mergeCell ref="F17:G17"/>
    <mergeCell ref="B18:D18"/>
    <mergeCell ref="F18:G18"/>
    <mergeCell ref="B19:D19"/>
    <mergeCell ref="B21:D21"/>
    <mergeCell ref="B22:D22"/>
    <mergeCell ref="B23:D23"/>
    <mergeCell ref="B24:D24"/>
    <mergeCell ref="B25:D25"/>
    <mergeCell ref="B26:D26"/>
    <mergeCell ref="B27:D27"/>
    <mergeCell ref="F28:G28"/>
    <mergeCell ref="A29:D29"/>
    <mergeCell ref="B31:D31"/>
    <mergeCell ref="B32:D32"/>
    <mergeCell ref="B33:D33"/>
    <mergeCell ref="B34:D34"/>
    <mergeCell ref="B36:D36"/>
    <mergeCell ref="B37:D37"/>
    <mergeCell ref="B38:D38"/>
    <mergeCell ref="B39:D39"/>
    <mergeCell ref="B41:D41"/>
    <mergeCell ref="B42:D42"/>
    <mergeCell ref="B43:D43"/>
    <mergeCell ref="B44:D44"/>
    <mergeCell ref="A46:D46"/>
    <mergeCell ref="B47:D47"/>
    <mergeCell ref="B48:D48"/>
    <mergeCell ref="B49:D49"/>
    <mergeCell ref="B50:D50"/>
    <mergeCell ref="B51:D51"/>
    <mergeCell ref="B52:D52"/>
    <mergeCell ref="B53:D53"/>
    <mergeCell ref="A55:D55"/>
  </mergeCells>
  <dataValidations count="4">
    <dataValidation allowBlank="true" errorStyle="stop" operator="between" showDropDown="false" showErrorMessage="true" showInputMessage="true" sqref="B21" type="list">
      <formula1>"rapid,regular"</formula1>
      <formula2>0</formula2>
    </dataValidation>
    <dataValidation allowBlank="true" errorStyle="stop" operator="between" showDropDown="false" showErrorMessage="true" showInputMessage="true" sqref="B31:D31 B33:D33" type="list">
      <formula1>"NPH BID,Insulin glargine (Basaglar,Lantus),Insulin glargine (Toujeo),Insulin detemir (Levemir),Insulin degludec (Tresiba)"</formula1>
      <formula2>0</formula2>
    </dataValidation>
    <dataValidation allowBlank="true" errorStyle="stop" operator="between" showDropDown="false" showErrorMessage="true" showInputMessage="true" sqref="B41:D41 B43:D43" type="list">
      <formula1>"Humulin 70/30,Novolin 70/30,Novolog 70/30,Humulin 50/50,Humalog mix 75/25"</formula1>
      <formula2>0</formula2>
    </dataValidation>
    <dataValidation allowBlank="true" errorStyle="stop" operator="between" showDropDown="false" showErrorMessage="true" showInputMessage="true" sqref="B36:D36 B38:D38" type="list">
      <formula1>"Insulin lispro (Humalog),Insulin aspart (Novolog),Insulin glulisine (Apidra),Regular (R)"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I13" activeCellId="0" sqref="I13"/>
    </sheetView>
  </sheetViews>
  <sheetFormatPr defaultColWidth="10.66796875" defaultRowHeight="15.7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7" min="2" style="1" width="9"/>
    <col collapsed="false" customWidth="true" hidden="false" outlineLevel="0" max="8" min="8" style="1" width="16"/>
    <col collapsed="false" customWidth="true" hidden="false" outlineLevel="0" max="10" min="9" style="1" width="3"/>
    <col collapsed="false" customWidth="true" hidden="false" outlineLevel="0" max="11" min="11" style="1" width="26"/>
    <col collapsed="false" customWidth="true" hidden="false" outlineLevel="0" max="12" min="12" style="1" width="12"/>
    <col collapsed="false" customWidth="true" hidden="false" outlineLevel="0" max="13" min="13" style="1" width="16"/>
  </cols>
  <sheetData>
    <row r="1" customFormat="false" ht="24" hidden="false" customHeight="true" outlineLevel="0" collapsed="false">
      <c r="A1" s="2" t="s">
        <v>245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.75" hidden="false" customHeight="true" outlineLevel="0" collapsed="false">
      <c r="A2" s="3" t="s">
        <v>246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15.75" hidden="false" customHeight="true" outlineLevel="0" collapsed="false">
      <c r="A3" s="62" t="s">
        <v>29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</row>
    <row r="4" customFormat="false" ht="18" hidden="false" customHeight="true" outlineLevel="0" collapsed="false">
      <c r="A4" s="76"/>
      <c r="B4" s="77" t="s">
        <v>247</v>
      </c>
      <c r="C4" s="77"/>
      <c r="D4" s="77"/>
      <c r="E4" s="77"/>
      <c r="F4" s="77"/>
      <c r="G4" s="77"/>
      <c r="H4" s="77" t="s">
        <v>248</v>
      </c>
      <c r="K4" s="77" t="s">
        <v>249</v>
      </c>
      <c r="L4" s="77"/>
      <c r="M4" s="76"/>
    </row>
    <row r="5" customFormat="false" ht="15" hidden="false" customHeight="true" outlineLevel="0" collapsed="false">
      <c r="A5" s="78" t="s">
        <v>250</v>
      </c>
      <c r="B5" s="79"/>
      <c r="C5" s="79"/>
      <c r="D5" s="79"/>
      <c r="E5" s="79"/>
      <c r="F5" s="79"/>
      <c r="G5" s="79"/>
      <c r="H5" s="24" t="str">
        <f aca="false">IF(COUNT(B5:G9) &gt; 0, ROUND(AVERAGE(B5:G9), 1), "")</f>
        <v/>
      </c>
      <c r="K5" s="80" t="s">
        <v>251</v>
      </c>
      <c r="L5" s="81" t="s">
        <v>252</v>
      </c>
      <c r="M5" s="76"/>
    </row>
    <row r="6" customFormat="false" ht="15" hidden="false" customHeight="true" outlineLevel="0" collapsed="false">
      <c r="A6" s="78"/>
      <c r="B6" s="79"/>
      <c r="C6" s="79"/>
      <c r="D6" s="79"/>
      <c r="E6" s="79"/>
      <c r="F6" s="79"/>
      <c r="G6" s="79"/>
      <c r="H6" s="24"/>
      <c r="K6" s="80" t="s">
        <v>253</v>
      </c>
      <c r="L6" s="81" t="s">
        <v>254</v>
      </c>
      <c r="M6" s="76"/>
    </row>
    <row r="7" customFormat="false" ht="15" hidden="false" customHeight="true" outlineLevel="0" collapsed="false">
      <c r="A7" s="78"/>
      <c r="B7" s="79"/>
      <c r="C7" s="79"/>
      <c r="D7" s="79"/>
      <c r="E7" s="79"/>
      <c r="F7" s="79"/>
      <c r="G7" s="79"/>
      <c r="H7" s="24"/>
      <c r="K7" s="80" t="s">
        <v>255</v>
      </c>
      <c r="L7" s="81" t="s">
        <v>256</v>
      </c>
      <c r="M7" s="76"/>
    </row>
    <row r="8" customFormat="false" ht="15" hidden="false" customHeight="true" outlineLevel="0" collapsed="false">
      <c r="A8" s="78"/>
      <c r="B8" s="79"/>
      <c r="C8" s="79"/>
      <c r="D8" s="79"/>
      <c r="E8" s="79"/>
      <c r="F8" s="79"/>
      <c r="G8" s="79"/>
      <c r="H8" s="24"/>
      <c r="K8" s="80" t="s">
        <v>257</v>
      </c>
      <c r="L8" s="81" t="s">
        <v>258</v>
      </c>
      <c r="M8" s="76"/>
    </row>
    <row r="9" customFormat="false" ht="15" hidden="false" customHeight="true" outlineLevel="0" collapsed="false">
      <c r="A9" s="78"/>
      <c r="B9" s="79"/>
      <c r="C9" s="79"/>
      <c r="D9" s="79"/>
      <c r="E9" s="79"/>
      <c r="F9" s="79"/>
      <c r="G9" s="79"/>
      <c r="H9" s="24"/>
      <c r="K9" s="76"/>
      <c r="L9" s="76"/>
      <c r="M9" s="76"/>
    </row>
    <row r="10" customFormat="false" ht="15" hidden="false" customHeight="true" outlineLevel="0" collapsed="false">
      <c r="A10" s="78" t="s">
        <v>259</v>
      </c>
      <c r="B10" s="79"/>
      <c r="C10" s="79"/>
      <c r="D10" s="79"/>
      <c r="E10" s="79"/>
      <c r="F10" s="79"/>
      <c r="G10" s="79"/>
      <c r="H10" s="24" t="str">
        <f aca="false">IF(COUNT(B10:G14) &gt; 0, ROUND(AVERAGE(B10:G14), 1), "")</f>
        <v/>
      </c>
      <c r="K10" s="82" t="s">
        <v>260</v>
      </c>
      <c r="L10" s="82"/>
      <c r="M10" s="76"/>
    </row>
    <row r="11" customFormat="false" ht="15" hidden="false" customHeight="true" outlineLevel="0" collapsed="false">
      <c r="A11" s="78"/>
      <c r="B11" s="79"/>
      <c r="C11" s="79"/>
      <c r="D11" s="79"/>
      <c r="E11" s="79"/>
      <c r="F11" s="79"/>
      <c r="G11" s="79"/>
      <c r="H11" s="24"/>
      <c r="K11" s="82" t="s">
        <v>261</v>
      </c>
      <c r="L11" s="82"/>
      <c r="M11" s="76"/>
    </row>
    <row r="12" customFormat="false" ht="15" hidden="false" customHeight="true" outlineLevel="0" collapsed="false">
      <c r="A12" s="78"/>
      <c r="B12" s="79"/>
      <c r="C12" s="79"/>
      <c r="D12" s="79"/>
      <c r="E12" s="79"/>
      <c r="F12" s="79"/>
      <c r="G12" s="79"/>
      <c r="H12" s="24"/>
      <c r="K12" s="76"/>
      <c r="L12" s="76"/>
      <c r="M12" s="76"/>
    </row>
    <row r="13" customFormat="false" ht="15" hidden="false" customHeight="true" outlineLevel="0" collapsed="false">
      <c r="A13" s="78"/>
      <c r="B13" s="79"/>
      <c r="C13" s="79"/>
      <c r="D13" s="79"/>
      <c r="E13" s="79"/>
      <c r="F13" s="79"/>
      <c r="G13" s="79"/>
      <c r="H13" s="24"/>
      <c r="K13" s="21" t="s">
        <v>262</v>
      </c>
      <c r="L13" s="24" t="str">
        <f aca="false">IF(COUNT(H5:H39) &gt; 0, ROUND(AVERAGE(H5:H39), 1), "")</f>
        <v/>
      </c>
      <c r="M13" s="76"/>
    </row>
    <row r="14" customFormat="false" ht="15" hidden="false" customHeight="true" outlineLevel="0" collapsed="false">
      <c r="A14" s="78"/>
      <c r="B14" s="79"/>
      <c r="C14" s="79"/>
      <c r="D14" s="79"/>
      <c r="E14" s="79"/>
      <c r="F14" s="79"/>
      <c r="G14" s="79"/>
      <c r="H14" s="24"/>
      <c r="K14" s="21" t="s">
        <v>263</v>
      </c>
      <c r="L14" s="24" t="n">
        <f aca="false">COUNTIF(B5:G39,"&lt;70")</f>
        <v>0</v>
      </c>
      <c r="M14" s="76"/>
    </row>
    <row r="15" customFormat="false" ht="15" hidden="false" customHeight="true" outlineLevel="0" collapsed="false">
      <c r="A15" s="78" t="s">
        <v>264</v>
      </c>
      <c r="B15" s="79"/>
      <c r="C15" s="79"/>
      <c r="D15" s="79"/>
      <c r="E15" s="79"/>
      <c r="F15" s="79"/>
      <c r="G15" s="79"/>
      <c r="H15" s="24" t="str">
        <f aca="false">IF(COUNT(B15:G19) &gt; 0, ROUND(AVERAGE(B15:G19), 1), "")</f>
        <v/>
      </c>
      <c r="K15" s="21" t="s">
        <v>265</v>
      </c>
      <c r="L15" s="24" t="n">
        <f aca="false">COUNTIF(B5:G39, "&gt;180")</f>
        <v>0</v>
      </c>
      <c r="M15" s="76"/>
    </row>
    <row r="16" customFormat="false" ht="15" hidden="false" customHeight="true" outlineLevel="0" collapsed="false">
      <c r="A16" s="78"/>
      <c r="B16" s="79"/>
      <c r="C16" s="79"/>
      <c r="D16" s="79"/>
      <c r="E16" s="79"/>
      <c r="F16" s="79"/>
      <c r="G16" s="79"/>
      <c r="H16" s="24"/>
      <c r="K16" s="76"/>
      <c r="L16" s="76"/>
      <c r="M16" s="76"/>
    </row>
    <row r="17" customFormat="false" ht="15" hidden="false" customHeight="true" outlineLevel="0" collapsed="false">
      <c r="A17" s="78"/>
      <c r="B17" s="79"/>
      <c r="C17" s="79"/>
      <c r="D17" s="79"/>
      <c r="E17" s="79"/>
      <c r="F17" s="79"/>
      <c r="G17" s="79"/>
      <c r="H17" s="24"/>
      <c r="K17" s="77" t="s">
        <v>31</v>
      </c>
      <c r="L17" s="83" t="s">
        <v>32</v>
      </c>
      <c r="M17" s="77" t="s">
        <v>33</v>
      </c>
    </row>
    <row r="18" customFormat="false" ht="15" hidden="false" customHeight="true" outlineLevel="0" collapsed="false">
      <c r="A18" s="78"/>
      <c r="B18" s="79"/>
      <c r="C18" s="79"/>
      <c r="D18" s="79"/>
      <c r="E18" s="79"/>
      <c r="F18" s="79"/>
      <c r="G18" s="79"/>
      <c r="H18" s="24"/>
      <c r="K18" s="84" t="s">
        <v>266</v>
      </c>
      <c r="L18" s="85"/>
      <c r="M18" s="24" t="str">
        <f aca="false">IF(L18="", "", 28.7*L18-46.7)</f>
        <v/>
      </c>
    </row>
    <row r="19" customFormat="false" ht="15" hidden="false" customHeight="true" outlineLevel="0" collapsed="false">
      <c r="A19" s="78"/>
      <c r="B19" s="79"/>
      <c r="C19" s="79"/>
      <c r="D19" s="79"/>
      <c r="E19" s="79"/>
      <c r="F19" s="79"/>
      <c r="G19" s="79"/>
      <c r="H19" s="24"/>
      <c r="K19" s="84" t="s">
        <v>267</v>
      </c>
      <c r="L19" s="85"/>
      <c r="M19" s="24" t="str">
        <f aca="false">IF(L19="", "", ((L19+46.7)/28.7))</f>
        <v/>
      </c>
    </row>
    <row r="20" customFormat="false" ht="15" hidden="false" customHeight="true" outlineLevel="0" collapsed="false">
      <c r="A20" s="78" t="s">
        <v>268</v>
      </c>
      <c r="B20" s="79"/>
      <c r="C20" s="79"/>
      <c r="D20" s="79"/>
      <c r="E20" s="79"/>
      <c r="F20" s="79"/>
      <c r="G20" s="79"/>
      <c r="H20" s="24" t="str">
        <f aca="false">IF(COUNT(B20:G24) &gt; 0, ROUND(AVERAGE(B20:G24), 1), "")</f>
        <v/>
      </c>
    </row>
    <row r="21" customFormat="false" ht="15" hidden="false" customHeight="true" outlineLevel="0" collapsed="false">
      <c r="A21" s="78"/>
      <c r="B21" s="79"/>
      <c r="C21" s="79"/>
      <c r="D21" s="79"/>
      <c r="E21" s="79"/>
      <c r="F21" s="79"/>
      <c r="G21" s="79"/>
      <c r="H21" s="24"/>
    </row>
    <row r="22" customFormat="false" ht="15" hidden="false" customHeight="true" outlineLevel="0" collapsed="false">
      <c r="A22" s="78"/>
      <c r="B22" s="79"/>
      <c r="C22" s="79"/>
      <c r="D22" s="79"/>
      <c r="E22" s="79"/>
      <c r="F22" s="79"/>
      <c r="G22" s="79"/>
      <c r="H22" s="24"/>
    </row>
    <row r="23" customFormat="false" ht="15" hidden="false" customHeight="true" outlineLevel="0" collapsed="false">
      <c r="A23" s="78"/>
      <c r="B23" s="79"/>
      <c r="C23" s="79"/>
      <c r="D23" s="79"/>
      <c r="E23" s="79"/>
      <c r="F23" s="79"/>
      <c r="G23" s="79"/>
      <c r="H23" s="24"/>
    </row>
    <row r="24" customFormat="false" ht="15" hidden="false" customHeight="true" outlineLevel="0" collapsed="false">
      <c r="A24" s="78"/>
      <c r="B24" s="79"/>
      <c r="C24" s="79"/>
      <c r="D24" s="79"/>
      <c r="E24" s="79"/>
      <c r="F24" s="79"/>
      <c r="G24" s="79"/>
      <c r="H24" s="24"/>
    </row>
    <row r="25" customFormat="false" ht="15" hidden="false" customHeight="true" outlineLevel="0" collapsed="false">
      <c r="A25" s="78" t="s">
        <v>269</v>
      </c>
      <c r="B25" s="79"/>
      <c r="C25" s="79"/>
      <c r="D25" s="79"/>
      <c r="E25" s="79"/>
      <c r="F25" s="79"/>
      <c r="G25" s="79"/>
      <c r="H25" s="24" t="str">
        <f aca="false">IF(COUNT(B25:G29) &gt; 0, ROUND(AVERAGE(B25:G29), 1), "")</f>
        <v/>
      </c>
    </row>
    <row r="26" customFormat="false" ht="15" hidden="false" customHeight="true" outlineLevel="0" collapsed="false">
      <c r="A26" s="78"/>
      <c r="B26" s="79"/>
      <c r="C26" s="79"/>
      <c r="D26" s="79"/>
      <c r="E26" s="79"/>
      <c r="F26" s="79"/>
      <c r="G26" s="79"/>
      <c r="H26" s="24"/>
    </row>
    <row r="27" customFormat="false" ht="15" hidden="false" customHeight="true" outlineLevel="0" collapsed="false">
      <c r="A27" s="78"/>
      <c r="B27" s="79"/>
      <c r="C27" s="79"/>
      <c r="D27" s="79"/>
      <c r="E27" s="79"/>
      <c r="F27" s="79"/>
      <c r="G27" s="79"/>
      <c r="H27" s="24"/>
    </row>
    <row r="28" customFormat="false" ht="15" hidden="false" customHeight="true" outlineLevel="0" collapsed="false">
      <c r="A28" s="78"/>
      <c r="B28" s="79"/>
      <c r="C28" s="79"/>
      <c r="D28" s="79"/>
      <c r="E28" s="79"/>
      <c r="F28" s="79"/>
      <c r="G28" s="79"/>
      <c r="H28" s="24"/>
    </row>
    <row r="29" customFormat="false" ht="15" hidden="false" customHeight="true" outlineLevel="0" collapsed="false">
      <c r="A29" s="78"/>
      <c r="B29" s="79"/>
      <c r="C29" s="79"/>
      <c r="D29" s="79"/>
      <c r="E29" s="79"/>
      <c r="F29" s="79"/>
      <c r="G29" s="79"/>
      <c r="H29" s="24"/>
    </row>
    <row r="30" customFormat="false" ht="15" hidden="false" customHeight="true" outlineLevel="0" collapsed="false">
      <c r="A30" s="78" t="s">
        <v>270</v>
      </c>
      <c r="B30" s="79"/>
      <c r="C30" s="79"/>
      <c r="D30" s="79"/>
      <c r="E30" s="79"/>
      <c r="F30" s="79"/>
      <c r="G30" s="79"/>
      <c r="H30" s="24" t="str">
        <f aca="false">IF(COUNT(B30:G34) &gt; 0, ROUND(AVERAGE(B30:G34), 1), "")</f>
        <v/>
      </c>
    </row>
    <row r="31" customFormat="false" ht="15" hidden="false" customHeight="true" outlineLevel="0" collapsed="false">
      <c r="A31" s="78"/>
      <c r="B31" s="79"/>
      <c r="C31" s="79"/>
      <c r="D31" s="79"/>
      <c r="E31" s="79"/>
      <c r="F31" s="79"/>
      <c r="G31" s="79"/>
      <c r="H31" s="24"/>
    </row>
    <row r="32" customFormat="false" ht="15" hidden="false" customHeight="true" outlineLevel="0" collapsed="false">
      <c r="A32" s="78"/>
      <c r="B32" s="79"/>
      <c r="C32" s="79"/>
      <c r="D32" s="79"/>
      <c r="E32" s="79"/>
      <c r="F32" s="79"/>
      <c r="G32" s="79"/>
      <c r="H32" s="24"/>
    </row>
    <row r="33" customFormat="false" ht="15" hidden="false" customHeight="true" outlineLevel="0" collapsed="false">
      <c r="A33" s="78"/>
      <c r="B33" s="79"/>
      <c r="C33" s="79"/>
      <c r="D33" s="79"/>
      <c r="E33" s="79"/>
      <c r="F33" s="79"/>
      <c r="G33" s="79"/>
      <c r="H33" s="24"/>
    </row>
    <row r="34" customFormat="false" ht="15" hidden="false" customHeight="true" outlineLevel="0" collapsed="false">
      <c r="A34" s="78"/>
      <c r="B34" s="79"/>
      <c r="C34" s="79"/>
      <c r="D34" s="79"/>
      <c r="E34" s="79"/>
      <c r="F34" s="79"/>
      <c r="G34" s="79"/>
      <c r="H34" s="24"/>
    </row>
    <row r="35" customFormat="false" ht="15" hidden="false" customHeight="true" outlineLevel="0" collapsed="false">
      <c r="A35" s="78" t="s">
        <v>271</v>
      </c>
      <c r="B35" s="79"/>
      <c r="C35" s="79"/>
      <c r="D35" s="79"/>
      <c r="E35" s="79"/>
      <c r="F35" s="79"/>
      <c r="G35" s="79"/>
      <c r="H35" s="24" t="str">
        <f aca="false">IF(COUNT(B35:G39) &gt; 0, ROUND(AVERAGE(B35:G39), 1), "")</f>
        <v/>
      </c>
    </row>
    <row r="36" customFormat="false" ht="15" hidden="false" customHeight="true" outlineLevel="0" collapsed="false">
      <c r="A36" s="78"/>
      <c r="B36" s="79"/>
      <c r="C36" s="79"/>
      <c r="D36" s="79"/>
      <c r="E36" s="79"/>
      <c r="F36" s="79"/>
      <c r="G36" s="79"/>
      <c r="H36" s="24"/>
    </row>
    <row r="37" customFormat="false" ht="15" hidden="false" customHeight="true" outlineLevel="0" collapsed="false">
      <c r="A37" s="78"/>
      <c r="B37" s="79"/>
      <c r="C37" s="79"/>
      <c r="D37" s="79"/>
      <c r="E37" s="79"/>
      <c r="F37" s="79"/>
      <c r="G37" s="79"/>
      <c r="H37" s="24"/>
    </row>
    <row r="38" customFormat="false" ht="15" hidden="false" customHeight="true" outlineLevel="0" collapsed="false">
      <c r="A38" s="78"/>
      <c r="B38" s="79"/>
      <c r="C38" s="79"/>
      <c r="D38" s="79"/>
      <c r="E38" s="79"/>
      <c r="F38" s="79"/>
      <c r="G38" s="79"/>
      <c r="H38" s="24"/>
    </row>
    <row r="39" customFormat="false" ht="15" hidden="false" customHeight="true" outlineLevel="0" collapsed="false">
      <c r="A39" s="78"/>
      <c r="B39" s="79"/>
      <c r="C39" s="79"/>
      <c r="D39" s="79"/>
      <c r="E39" s="79"/>
      <c r="F39" s="79"/>
      <c r="G39" s="79"/>
      <c r="H39" s="24"/>
    </row>
    <row r="41" customFormat="false" ht="18" hidden="false" customHeight="true" outlineLevel="0" collapsed="false">
      <c r="A41" s="86" t="s">
        <v>272</v>
      </c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</row>
    <row r="42" customFormat="false" ht="30" hidden="false" customHeight="true" outlineLevel="0" collapsed="false">
      <c r="A42" s="50" t="s">
        <v>273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</row>
    <row r="43" customFormat="false" ht="30" hidden="false" customHeight="true" outlineLevel="0" collapsed="false">
      <c r="A43" s="50" t="s">
        <v>274</v>
      </c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</row>
    <row r="45" customFormat="false" ht="30" hidden="false" customHeight="true" outlineLevel="0" collapsed="false">
      <c r="A45" s="61" t="s">
        <v>275</v>
      </c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</row>
  </sheetData>
  <sheetProtection sheet="true"/>
  <mergeCells count="25">
    <mergeCell ref="A1:M1"/>
    <mergeCell ref="A2:M2"/>
    <mergeCell ref="A3:M3"/>
    <mergeCell ref="B4:G4"/>
    <mergeCell ref="K4:L4"/>
    <mergeCell ref="A5:A9"/>
    <mergeCell ref="H5:H9"/>
    <mergeCell ref="A10:A14"/>
    <mergeCell ref="H10:H14"/>
    <mergeCell ref="K10:L10"/>
    <mergeCell ref="K11:L11"/>
    <mergeCell ref="A15:A19"/>
    <mergeCell ref="H15:H19"/>
    <mergeCell ref="A20:A24"/>
    <mergeCell ref="H20:H24"/>
    <mergeCell ref="A25:A29"/>
    <mergeCell ref="H25:H29"/>
    <mergeCell ref="A30:A34"/>
    <mergeCell ref="H30:H34"/>
    <mergeCell ref="A35:A39"/>
    <mergeCell ref="H35:H39"/>
    <mergeCell ref="A41:M41"/>
    <mergeCell ref="A42:M42"/>
    <mergeCell ref="A43:M43"/>
    <mergeCell ref="A45:M45"/>
  </mergeCells>
  <conditionalFormatting sqref="B5:G39">
    <cfRule type="expression" priority="2" aboveAverage="0" equalAverage="0" bottom="0" percent="0" rank="0" text="" dxfId="0">
      <formula>AND(B5&gt;180, B5&lt;&gt;"")</formula>
    </cfRule>
    <cfRule type="expression" priority="3" aboveAverage="0" equalAverage="0" bottom="0" percent="0" rank="0" text="" dxfId="1">
      <formula>AND(B5&lt;70, B5&lt;&gt;"")</formula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2023-05-26T00:03:51Z</dcterms:created>
  <dc:creator>Andrew Tran</dc:creator>
  <dc:description/>
  <dc:language>en-US</dc:language>
  <cp:lastModifiedBy>Andrew Tran</cp:lastModifiedBy>
  <dcterms:modified xsi:type="dcterms:W3CDTF">2026-08-04T18:06:16Z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