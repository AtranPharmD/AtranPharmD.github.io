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atient Information" sheetId="2" state="visible" r:id="rId4"/>
    <sheet name="Bridge Plan Printout" sheetId="3" state="visible" r:id="rId5"/>
    <sheet name="References" sheetId="4" state="visible" r:id="rId6"/>
  </sheets>
  <definedNames>
    <definedName function="false" hidden="false" localSheetId="2" name="_xlnm.Print_Area" vbProcedure="false">'Bridge Plan Printout'!$A$1:$F$27</definedName>
    <definedName function="false" hidden="false" localSheetId="0" name="_xlnm.Print_Area" vbProcedure="false">Instructions!$A$1:$H$42</definedName>
    <definedName function="false" hidden="false" localSheetId="1" name="_xlnm.Print_Area" vbProcedure="false">'Patient Information'!$A$1:$L$10</definedName>
    <definedName function="false" hidden="false" localSheetId="3" name="_xlnm.Print_Area" vbProcedure="false">References!$A$1:$L$14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<sst xmlns="http://schemas.openxmlformats.org/spreadsheetml/2006/main" count="140" uniqueCount="129">
  <si>
    <t xml:space="preserve">Bridge Plan Maker — Instructions</t>
  </si>
  <si>
    <t xml:space="preserve">Perioperative Anticoagulation Bridge Planning &amp; CrCl Calculator</t>
  </si>
  <si>
    <t xml:space="preserve">How to Use the Bridge Plan Maker</t>
  </si>
  <si>
    <t xml:space="preserve">Enter all the patient information necessary in the Patient Information Worksheet.</t>
  </si>
  <si>
    <t xml:space="preserve">Select "Bridge Plan Printout" and change any information in the fields to match your instructions.</t>
  </si>
  <si>
    <t xml:space="preserve">If you entered data into a field and it doesn't match what you wanted, close the spreadsheet and open a new bridge plan maker. Do not Save!</t>
  </si>
  <si>
    <t xml:space="preserve">Verify the information is correct and print the active worksheet.</t>
  </si>
  <si>
    <t xml:space="preserve">The bridge plan spreadsheet only allows for a maximum of 14 days of planning around the surgery date. If a longer plan is needed, please refer to the Microsoft Word template.</t>
  </si>
  <si>
    <t xml:space="preserve">CrCl Calculator Instructions</t>
  </si>
  <si>
    <t xml:space="preserve">Enter Height, Weight, Age, SCr, and Gender in each space. Must be in appropriate units.</t>
  </si>
  <si>
    <t xml:space="preserve">All 5 fields must be filled for the CrCl Calculator to work.</t>
  </si>
  <si>
    <t xml:space="preserve">If SCr is less than 1.0, a value of 1.0 will be used in the CrCl formula.</t>
  </si>
  <si>
    <t xml:space="preserve">Color Key</t>
  </si>
  <si>
    <t xml:space="preserve">Manual entry — fields you fill in</t>
  </si>
  <si>
    <t xml:space="preserve">Automatically calculated — do not edit</t>
  </si>
  <si>
    <t xml:space="preserve">Tab Guide</t>
  </si>
  <si>
    <t xml:space="preserve">Instructions</t>
  </si>
  <si>
    <t xml:space="preserve">You're here! How-to guide, CrCl calculator notes, and version history.</t>
  </si>
  <si>
    <t xml:space="preserve">Patient Information</t>
  </si>
  <si>
    <t xml:space="preserve">Enter patient demographics, CrCl inputs, and case details here first.</t>
  </si>
  <si>
    <t xml:space="preserve">Bridge Plan Printout</t>
  </si>
  <si>
    <t xml:space="preserve">Auto-generated, ready-to-print anticoagulation bridge schedule.</t>
  </si>
  <si>
    <t xml:space="preserve">References</t>
  </si>
  <si>
    <t xml:space="preserve">Behind-the-scenes lookup tables that power the calculations — no need to edit.</t>
  </si>
  <si>
    <t xml:space="preserve">Version History</t>
  </si>
  <si>
    <t xml:space="preserve">Created by Mike De Luna</t>
  </si>
  <si>
    <t xml:space="preserve">Version 1.0</t>
  </si>
  <si>
    <t xml:space="preserve">Created on: 02/01/2011</t>
  </si>
  <si>
    <t xml:space="preserve">Last edit: 06/28/2012</t>
  </si>
  <si>
    <t xml:space="preserve">Updated by Jonathan Lewis, Program Manager 2 (not a pharmacist), with clinical content by Andrew Tran, PharmD, BCACP, BCPS</t>
  </si>
  <si>
    <t xml:space="preserve">Version 1.1</t>
  </si>
  <si>
    <t xml:space="preserve">Created on: 07/23/2024</t>
  </si>
  <si>
    <t xml:space="preserve">Last edit: 07/24/2024</t>
  </si>
  <si>
    <t xml:space="preserve">Updated by Andrew Tran, PharmD, BCACP, BCPS</t>
  </si>
  <si>
    <t xml:space="preserve">Version 1.2</t>
  </si>
  <si>
    <t xml:space="preserve">Created on: 08/03/2026</t>
  </si>
  <si>
    <t xml:space="preserve">Last edit: 08/03/2026</t>
  </si>
  <si>
    <t xml:space="preserve">Update Log</t>
  </si>
  <si>
    <t xml:space="preserve">Date</t>
  </si>
  <si>
    <t xml:space="preserve">Update Notes</t>
  </si>
  <si>
    <t xml:space="preserve">Updated file to have "Next syringe size" automatically calculate from Lovenox dose, and correlating table on reference tab.</t>
  </si>
  <si>
    <t xml:space="preserve">Added column B to Bridge Plan Printout to calculate day of the week of column A.</t>
  </si>
  <si>
    <t xml:space="preserve">Moved all calculation/reference cells to References tab.</t>
  </si>
  <si>
    <t xml:space="preserve">Added color coding to Patient Information tab — all yellow fields are manually filled in, all teal fields are automatically calculated.</t>
  </si>
  <si>
    <t xml:space="preserve">All other calculations related to calculating pharmaceutical therapies and dosages remain unchanged.</t>
  </si>
  <si>
    <t xml:space="preserve">Visual redesign: refreshed color scheme, typography, borders, and print/page layout across all tabs for readability and a more professional, printable appearance. Fixed print/page setup so no content is cut off when printed. No formulas, values, or calculations were changed.</t>
  </si>
  <si>
    <t xml:space="preserve">CrCl Calculator</t>
  </si>
  <si>
    <t xml:space="preserve">Lovenox (Enoxaparin) Dosing Reference</t>
  </si>
  <si>
    <t xml:space="preserve">Height(in.):</t>
  </si>
  <si>
    <t xml:space="preserve">IBW:</t>
  </si>
  <si>
    <t xml:space="preserve">kg</t>
  </si>
  <si>
    <t xml:space="preserve">**All fields from Height to Male/Female must be filled out**</t>
  </si>
  <si>
    <t xml:space="preserve">Weight-based dosing with renal cutoffs, per current FDA labeling. Locked to protect it from accidental edits.</t>
  </si>
  <si>
    <t xml:space="preserve">Weight (kg):</t>
  </si>
  <si>
    <t xml:space="preserve">TBW/IBW</t>
  </si>
  <si>
    <t xml:space="preserve">***If SCr is less than 1.0, a value of 1.0 will be used in the CrCl formula***</t>
  </si>
  <si>
    <t xml:space="preserve">Age:</t>
  </si>
  <si>
    <t xml:space="preserve">Adj. BW:</t>
  </si>
  <si>
    <t xml:space="preserve">Indication</t>
  </si>
  <si>
    <t xml:space="preserve">Standard Dosing</t>
  </si>
  <si>
    <t xml:space="preserve">CrCl &lt;30 mL/min</t>
  </si>
  <si>
    <t xml:space="preserve">SCr (mg/dL):</t>
  </si>
  <si>
    <t xml:space="preserve">CrCl (IBW):</t>
  </si>
  <si>
    <t xml:space="preserve">mL/min</t>
  </si>
  <si>
    <t xml:space="preserve">Prophylaxis — general/abdominal surgery</t>
  </si>
  <si>
    <t xml:space="preserve">40 mg SQ once daily (first dose 2 hr pre-op); usual duration 7-10 days.</t>
  </si>
  <si>
    <t xml:space="preserve">30 mg SQ once daily.</t>
  </si>
  <si>
    <t xml:space="preserve">Male/Female:</t>
  </si>
  <si>
    <t xml:space="preserve">CrCl (ABW):</t>
  </si>
  <si>
    <t xml:space="preserve">Prophylaxis — hip/knee replacement</t>
  </si>
  <si>
    <t xml:space="preserve">30 mg SQ q12h (first dose 12-24 hr post-op), OR 40 mg SQ once daily for up to 3 weeks (hip only; first dose 12±3 hr pre-op).</t>
  </si>
  <si>
    <t xml:space="preserve">Prophylaxis — medical patients, acute illness</t>
  </si>
  <si>
    <t xml:space="preserve">40 mg SQ once daily; usual duration 6-11 days.</t>
  </si>
  <si>
    <t xml:space="preserve">Treatment — DVT/PE, outpatient (no PE)</t>
  </si>
  <si>
    <t xml:space="preserve">1 mg/kg SQ every 12 hours.</t>
  </si>
  <si>
    <t xml:space="preserve">1 mg/kg SQ once daily.</t>
  </si>
  <si>
    <t xml:space="preserve">MRN</t>
  </si>
  <si>
    <t xml:space="preserve">Last name</t>
  </si>
  <si>
    <t xml:space="preserve">First Name</t>
  </si>
  <si>
    <t xml:space="preserve">Stop Warfarin On:</t>
  </si>
  <si>
    <t xml:space="preserve">Surgery Date</t>
  </si>
  <si>
    <t xml:space="preserve">Lab Date:</t>
  </si>
  <si>
    <t xml:space="preserve">Lab Loc:</t>
  </si>
  <si>
    <t xml:space="preserve">Type of Surgery</t>
  </si>
  <si>
    <t xml:space="preserve">Lovenox Dose (mg)</t>
  </si>
  <si>
    <t xml:space="preserve">Once or Twice Daily dosing?</t>
  </si>
  <si>
    <t xml:space="preserve">Next Syringe Size</t>
  </si>
  <si>
    <t xml:space="preserve">Prepared By</t>
  </si>
  <si>
    <t xml:space="preserve">Treatment — DVT/PE, inpatient (± PE)</t>
  </si>
  <si>
    <t xml:space="preserve">1 mg/kg SQ every 12 hours, OR 1.5 mg/kg SQ once daily; minimum 5 days and until therapeutic INR (2-3).</t>
  </si>
  <si>
    <t xml:space="preserve">Doe </t>
  </si>
  <si>
    <t xml:space="preserve">Jane</t>
  </si>
  <si>
    <t xml:space="preserve">KLHC</t>
  </si>
  <si>
    <t xml:space="preserve">Knee Surgery</t>
  </si>
  <si>
    <t xml:space="preserve">Once</t>
  </si>
  <si>
    <t xml:space="preserve">Andrew Tran, PharmD</t>
  </si>
  <si>
    <t xml:space="preserve">Unstable angina / NSTEMI</t>
  </si>
  <si>
    <t xml:space="preserve">1 mg/kg SQ every 12 hours with aspirin 100-325 mg daily; minimum 2 days.</t>
  </si>
  <si>
    <t xml:space="preserve">STEMI, age &lt;75</t>
  </si>
  <si>
    <t xml:space="preserve">30 mg IV bolus + 1 mg/kg SQ, then 1 mg/kg SQ q12h (max 100 mg for first 2 SQ doses).</t>
  </si>
  <si>
    <t xml:space="preserve">30 mg IV bolus + 1 mg/kg SQ, then 1 mg/kg SQ once daily.</t>
  </si>
  <si>
    <t xml:space="preserve">STEMI, age ≥75</t>
  </si>
  <si>
    <t xml:space="preserve">0.75 mg/kg SQ q12h, no bolus (max 75 mg for first 2 doses).</t>
  </si>
  <si>
    <t xml:space="preserve">1 mg/kg SQ once daily, no bolus.</t>
  </si>
  <si>
    <t xml:space="preserve">No dose adjustment needed for CrCl 30 to &lt;50 mL/min or 50-80 mL/min. Observe low-weight patients (&lt;45 kg women, &lt;57 kg men) frequently for bleeding.</t>
  </si>
  <si>
    <t xml:space="preserve">Source: Lovenox (enoxaparin sodium) FDA prescribing information, DailyMed, revised 5/2025.</t>
  </si>
  <si>
    <t xml:space="preserve">MRN:</t>
  </si>
  <si>
    <t xml:space="preserve">Day</t>
  </si>
  <si>
    <t xml:space="preserve">Lovenox</t>
  </si>
  <si>
    <t xml:space="preserve">Warfarin</t>
  </si>
  <si>
    <t xml:space="preserve">Lab</t>
  </si>
  <si>
    <t xml:space="preserve">AM</t>
  </si>
  <si>
    <t xml:space="preserve">PM</t>
  </si>
  <si>
    <t xml:space="preserve">None</t>
  </si>
  <si>
    <t xml:space="preserve">**Continue Lovenox until therapeutic one time</t>
  </si>
  <si>
    <t xml:space="preserve">lower end of range</t>
  </si>
  <si>
    <t xml:space="preserve">Next syringe size</t>
  </si>
  <si>
    <t xml:space="preserve">Total Lovenox dose:</t>
  </si>
  <si>
    <t xml:space="preserve">Single dose:</t>
  </si>
  <si>
    <t xml:space="preserve">Male</t>
  </si>
  <si>
    <t xml:space="preserve">Twice</t>
  </si>
  <si>
    <t xml:space="preserve">Surgery Date:</t>
  </si>
  <si>
    <t xml:space="preserve">Next available</t>
  </si>
  <si>
    <t xml:space="preserve">Female</t>
  </si>
  <si>
    <t xml:space="preserve">Days before surg</t>
  </si>
  <si>
    <t xml:space="preserve">Lab Date</t>
  </si>
  <si>
    <t xml:space="preserve">Days after surg</t>
  </si>
  <si>
    <t xml:space="preserve">Lovenox Dose</t>
  </si>
  <si>
    <t xml:space="preserve">ML</t>
  </si>
</sst>
</file>

<file path=xl/styles.xml><?xml version="1.0" encoding="utf-8"?>
<styleSheet xmlns="http://schemas.openxmlformats.org/spreadsheetml/2006/main">
  <numFmts count="4">
    <numFmt numFmtId="164" formatCode="General"/>
    <numFmt numFmtId="165" formatCode="m/d/yyyy"/>
    <numFmt numFmtId="166" formatCode="m/dd/yyyy"/>
    <numFmt numFmtId="167" formatCode="0"/>
  </numFmts>
  <fonts count="42">
    <font>
      <sz val="11"/>
      <color theme="1"/>
      <name val="Calibri"/>
      <family val="2"/>
      <charset val="1"/>
    </font>
    <font>
      <sz val="10"/>
      <name val="Arial"/>
      <family val="0"/>
    </font>
    <font>
      <sz val="10"/>
      <name val="Arial"/>
      <family val="0"/>
    </font>
    <font>
      <sz val="10"/>
      <name val="Arial"/>
      <family val="0"/>
    </font>
    <font>
      <sz val="14"/>
      <name val="Times New Roman"/>
      <family val="1"/>
      <charset val="1"/>
    </font>
    <font>
      <b val="true"/>
      <sz val="18"/>
      <color rgb="FFFFFFFF"/>
      <name val="Arial"/>
      <family val="2"/>
      <charset val="1"/>
    </font>
    <font>
      <sz val="10.5"/>
      <name val="Arial"/>
      <family val="2"/>
      <charset val="1"/>
    </font>
    <font>
      <i val="true"/>
      <sz val="11"/>
      <color rgb="FF5A6472"/>
      <name val="Arial"/>
      <family val="2"/>
      <charset val="1"/>
    </font>
    <font>
      <b val="true"/>
      <sz val="12.5"/>
      <color rgb="FF1F3864"/>
      <name val="Arial"/>
      <family val="2"/>
      <charset val="1"/>
    </font>
    <font>
      <b val="true"/>
      <sz val="11"/>
      <color rgb="FFFFFFFF"/>
      <name val="Arial"/>
      <family val="2"/>
      <charset val="1"/>
    </font>
    <font>
      <sz val="10.5"/>
      <color rgb="FF1A2B3A"/>
      <name val="Arial"/>
      <family val="2"/>
      <charset val="1"/>
    </font>
    <font>
      <b val="true"/>
      <i val="true"/>
      <sz val="10"/>
      <color rgb="FF9C2B2B"/>
      <name val="Arial"/>
      <family val="2"/>
      <charset val="1"/>
    </font>
    <font>
      <sz val="10"/>
      <color rgb="FF1A2B3A"/>
      <name val="Arial"/>
      <family val="2"/>
      <charset val="1"/>
    </font>
    <font>
      <b val="true"/>
      <sz val="10"/>
      <color rgb="FF1A2B3A"/>
      <name val="Arial"/>
      <family val="2"/>
      <charset val="1"/>
    </font>
    <font>
      <sz val="10"/>
      <color rgb="FF5A6472"/>
      <name val="Arial"/>
      <family val="2"/>
      <charset val="1"/>
    </font>
    <font>
      <b val="true"/>
      <sz val="10.5"/>
      <color rgb="FF1F3864"/>
      <name val="Arial"/>
      <family val="2"/>
      <charset val="1"/>
    </font>
    <font>
      <sz val="9.5"/>
      <color rgb="FF5A6472"/>
      <name val="Arial"/>
      <family val="2"/>
      <charset val="1"/>
    </font>
    <font>
      <b val="true"/>
      <sz val="10"/>
      <color rgb="FFFFFFFF"/>
      <name val="Arial"/>
      <family val="2"/>
      <charset val="1"/>
    </font>
    <font>
      <sz val="9.5"/>
      <color rgb="FF1A2B3A"/>
      <name val="Arial"/>
      <family val="2"/>
      <charset val="1"/>
    </font>
    <font>
      <b val="true"/>
      <sz val="11"/>
      <color rgb="FF1F3864"/>
      <name val="Arial"/>
      <family val="0"/>
      <charset val="1"/>
    </font>
    <font>
      <b val="true"/>
      <sz val="10"/>
      <color rgb="FF1F3864"/>
      <name val="Arial"/>
      <family val="0"/>
      <charset val="1"/>
    </font>
    <font>
      <sz val="10"/>
      <color rgb="FF1A2B3A"/>
      <name val="Arial"/>
      <family val="0"/>
      <charset val="1"/>
    </font>
    <font>
      <sz val="11"/>
      <name val="Arial"/>
      <family val="2"/>
      <charset val="1"/>
    </font>
    <font>
      <b val="true"/>
      <sz val="10.5"/>
      <color rgb="FFFFFFFF"/>
      <name val="Arial"/>
      <family val="2"/>
      <charset val="1"/>
    </font>
    <font>
      <b val="true"/>
      <sz val="13"/>
      <color rgb="FFFFFFFF"/>
      <name val="Arial"/>
      <family val="0"/>
      <charset val="1"/>
    </font>
    <font>
      <b val="true"/>
      <sz val="10.5"/>
      <color rgb="FF1A2B3A"/>
      <name val="Arial"/>
      <family val="2"/>
      <charset val="1"/>
    </font>
    <font>
      <b val="true"/>
      <sz val="10.5"/>
      <color rgb="FF0B5D57"/>
      <name val="Arial"/>
      <family val="2"/>
      <charset val="1"/>
    </font>
    <font>
      <i val="true"/>
      <sz val="10"/>
      <color rgb="FFFFFFFF"/>
      <name val="Arial"/>
      <family val="2"/>
      <charset val="1"/>
    </font>
    <font>
      <b val="true"/>
      <i val="true"/>
      <sz val="9.5"/>
      <color rgb="FF9C2B2B"/>
      <name val="Arial"/>
      <family val="2"/>
      <charset val="1"/>
    </font>
    <font>
      <i val="true"/>
      <sz val="9"/>
      <color rgb="FF7A7A7A"/>
      <name val="Arial"/>
      <family val="0"/>
      <charset val="1"/>
    </font>
    <font>
      <b val="true"/>
      <sz val="10.5"/>
      <color rgb="FFFFFFFF"/>
      <name val="Arial"/>
      <family val="0"/>
      <charset val="1"/>
    </font>
    <font>
      <b val="true"/>
      <sz val="10"/>
      <color rgb="FF1A1A1A"/>
      <name val="Arial"/>
      <family val="0"/>
      <charset val="1"/>
    </font>
    <font>
      <sz val="10"/>
      <color rgb="FF1A1A1A"/>
      <name val="Arial"/>
      <family val="0"/>
      <charset val="1"/>
    </font>
    <font>
      <b val="true"/>
      <sz val="10"/>
      <color rgb="FF0B5D57"/>
      <name val="Arial"/>
      <family val="2"/>
      <charset val="1"/>
    </font>
    <font>
      <i val="true"/>
      <sz val="8.5"/>
      <color rgb="FF7A7A7A"/>
      <name val="Arial"/>
      <family val="0"/>
      <charset val="1"/>
    </font>
    <font>
      <sz val="12"/>
      <name val="Times New Roman"/>
      <family val="1"/>
      <charset val="1"/>
    </font>
    <font>
      <b val="true"/>
      <sz val="15"/>
      <color rgb="FF1F3864"/>
      <name val="Arial"/>
      <family val="2"/>
      <charset val="1"/>
    </font>
    <font>
      <b val="true"/>
      <sz val="12"/>
      <name val="Times New Roman"/>
      <family val="1"/>
      <charset val="1"/>
    </font>
    <font>
      <b val="true"/>
      <sz val="10"/>
      <color rgb="FF5A6472"/>
      <name val="Arial"/>
      <family val="2"/>
      <charset val="1"/>
    </font>
    <font>
      <b val="true"/>
      <sz val="11.5"/>
      <color rgb="FF1A2B3A"/>
      <name val="Arial"/>
      <family val="2"/>
      <charset val="1"/>
    </font>
    <font>
      <b val="true"/>
      <sz val="9.5"/>
      <color rgb="FFFFFFFF"/>
      <name val="Arial"/>
      <family val="2"/>
      <charset val="1"/>
    </font>
    <font>
      <b val="true"/>
      <sz val="10"/>
      <color rgb="FF1F3864"/>
      <name val="Arial"/>
      <family val="2"/>
      <charset val="1"/>
    </font>
  </fonts>
  <fills count="15">
    <fill>
      <patternFill patternType="none"/>
    </fill>
    <fill>
      <patternFill patternType="gray125"/>
    </fill>
    <fill>
      <patternFill patternType="solid">
        <fgColor rgb="FF1F3864"/>
        <bgColor rgb="FF1A2B3A"/>
      </patternFill>
    </fill>
    <fill>
      <patternFill patternType="solid">
        <fgColor rgb="FFD9E2F3"/>
        <bgColor rgb="FFD9DEE4"/>
      </patternFill>
    </fill>
    <fill>
      <patternFill patternType="solid">
        <fgColor rgb="FFFFF3CD"/>
        <bgColor rgb="FFFFF7C2"/>
      </patternFill>
    </fill>
    <fill>
      <patternFill patternType="solid">
        <fgColor rgb="FFFFF7C2"/>
        <bgColor rgb="FFFFF3CD"/>
      </patternFill>
    </fill>
    <fill>
      <patternFill patternType="solid">
        <fgColor rgb="FFC9EEEA"/>
        <bgColor rgb="FFD9E2F3"/>
      </patternFill>
    </fill>
    <fill>
      <patternFill patternType="solid">
        <fgColor rgb="FF5B6B82"/>
        <bgColor rgb="FF5A6472"/>
      </patternFill>
    </fill>
    <fill>
      <patternFill patternType="solid">
        <fgColor rgb="FFFFC000"/>
        <bgColor rgb="FFFF9900"/>
      </patternFill>
    </fill>
    <fill>
      <patternFill patternType="solid">
        <fgColor rgb="FF2E7D46"/>
        <bgColor rgb="FF0B5D57"/>
      </patternFill>
    </fill>
    <fill>
      <patternFill patternType="solid">
        <fgColor rgb="FFAAB4BE"/>
        <bgColor rgb="FFB9C2CC"/>
      </patternFill>
    </fill>
    <fill>
      <patternFill patternType="solid">
        <fgColor rgb="FF2F5496"/>
        <bgColor rgb="FF2E5C8A"/>
      </patternFill>
    </fill>
    <fill>
      <patternFill patternType="solid">
        <fgColor rgb="FFF2F6FA"/>
        <bgColor rgb="FFEEF2F6"/>
      </patternFill>
    </fill>
    <fill>
      <patternFill patternType="solid">
        <fgColor rgb="FF2E5C8A"/>
        <bgColor rgb="FF2F5496"/>
      </patternFill>
    </fill>
    <fill>
      <patternFill patternType="solid">
        <fgColor rgb="FFEEF2F6"/>
        <bgColor rgb="FFF2F6FA"/>
      </patternFill>
    </fill>
  </fills>
  <borders count="11">
    <border diagonalUp="false" diagonalDown="false">
      <left/>
      <right/>
      <top/>
      <bottom/>
      <diagonal/>
    </border>
    <border diagonalUp="false" diagonalDown="false">
      <left style="thick">
        <color rgb="FF1F3864"/>
      </left>
      <right/>
      <top/>
      <bottom/>
      <diagonal/>
    </border>
    <border diagonalUp="false" diagonalDown="false">
      <left style="thin">
        <color rgb="FFB9C2CC"/>
      </left>
      <right style="thin">
        <color rgb="FFB9C2CC"/>
      </right>
      <top style="thin">
        <color rgb="FFB9C2CC"/>
      </top>
      <bottom style="thin">
        <color rgb="FFB9C2CC"/>
      </bottom>
      <diagonal/>
    </border>
    <border diagonalUp="false" diagonalDown="false">
      <left/>
      <right/>
      <top/>
      <bottom style="thin">
        <color rgb="FFD9DEE4"/>
      </bottom>
      <diagonal/>
    </border>
    <border diagonalUp="false" diagonalDown="false">
      <left/>
      <right style="thin">
        <color rgb="FFB9C2CC"/>
      </right>
      <top/>
      <bottom style="hair">
        <color rgb="FFE4E8EC"/>
      </bottom>
      <diagonal/>
    </border>
    <border diagonalUp="false" diagonalDown="false">
      <left/>
      <right style="thin">
        <color rgb="FFB9C2CC"/>
      </right>
      <top/>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medium">
        <color rgb="FF1F3864"/>
      </bottom>
      <diagonal/>
    </border>
    <border diagonalUp="false" diagonalDown="false">
      <left style="thin">
        <color rgb="FFB9C2CC"/>
      </left>
      <right style="thin">
        <color rgb="FFB9C2CC"/>
      </right>
      <top style="thin">
        <color rgb="FFB9C2CC"/>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1"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1" shrinkToFit="false"/>
      <protection locked="true" hidden="false"/>
    </xf>
    <xf numFmtId="164" fontId="11" fillId="4" borderId="1" xfId="0" applyFont="true" applyBorder="true" applyAlignment="true" applyProtection="false">
      <alignment horizontal="left" vertical="center" textRotation="0" wrapText="true" indent="1" shrinkToFit="false"/>
      <protection locked="true" hidden="false"/>
    </xf>
    <xf numFmtId="164" fontId="6" fillId="5" borderId="2" xfId="0" applyFont="true" applyBorder="true" applyAlignment="true" applyProtection="true">
      <alignment horizontal="general" vertical="bottom" textRotation="0" wrapText="false" indent="0" shrinkToFit="false"/>
      <protection locked="false" hidden="false"/>
    </xf>
    <xf numFmtId="164" fontId="12" fillId="0" borderId="0" xfId="0" applyFont="true" applyBorder="true" applyAlignment="true" applyProtection="false">
      <alignment horizontal="general" vertical="center" textRotation="0" wrapText="false" indent="1" shrinkToFit="false"/>
      <protection locked="true" hidden="false"/>
    </xf>
    <xf numFmtId="164" fontId="6" fillId="6" borderId="2" xfId="0" applyFont="true" applyBorder="tru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6" fillId="7" borderId="2"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true" applyAlignment="true" applyProtection="false">
      <alignment horizontal="general" vertical="center" textRotation="0" wrapText="true" indent="1" shrinkToFit="false"/>
      <protection locked="true" hidden="false"/>
    </xf>
    <xf numFmtId="164" fontId="6" fillId="8" borderId="2" xfId="0" applyFont="true" applyBorder="true" applyAlignment="tru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general" vertical="bottom" textRotation="0" wrapText="false" indent="0" shrinkToFit="false"/>
      <protection locked="true" hidden="false"/>
    </xf>
    <xf numFmtId="164" fontId="6" fillId="10" borderId="2" xfId="0" applyFont="true" applyBorder="true" applyAlignment="true" applyProtection="false">
      <alignment horizontal="general" vertical="bottom" textRotation="0" wrapText="false" indent="0" shrinkToFit="false"/>
      <protection locked="true" hidden="false"/>
    </xf>
    <xf numFmtId="165" fontId="13" fillId="0" borderId="0" xfId="0" applyFont="true" applyBorder="true" applyAlignment="true" applyProtection="false">
      <alignment horizontal="general" vertical="center" textRotation="0" wrapText="false" indent="1" shrinkToFit="false"/>
      <protection locked="true" hidden="false"/>
    </xf>
    <xf numFmtId="165" fontId="15" fillId="0" borderId="0" xfId="0" applyFont="true" applyBorder="true" applyAlignment="true" applyProtection="false">
      <alignment horizontal="general" vertical="center" textRotation="0" wrapText="true" indent="1" shrinkToFit="false"/>
      <protection locked="true" hidden="false"/>
    </xf>
    <xf numFmtId="164" fontId="15" fillId="0" borderId="0" xfId="0" applyFont="true" applyBorder="true" applyAlignment="true" applyProtection="false">
      <alignment horizontal="right" vertical="center" textRotation="0" wrapText="false" indent="1" shrinkToFit="false"/>
      <protection locked="true" hidden="false"/>
    </xf>
    <xf numFmtId="165" fontId="16" fillId="0" borderId="3" xfId="0" applyFont="true" applyBorder="true" applyAlignment="true" applyProtection="false">
      <alignment horizontal="general" vertical="center" textRotation="0" wrapText="false" indent="1" shrinkToFit="false"/>
      <protection locked="true" hidden="false"/>
    </xf>
    <xf numFmtId="164" fontId="16" fillId="0" borderId="3" xfId="0" applyFont="true" applyBorder="true" applyAlignment="true" applyProtection="false">
      <alignment horizontal="general" vertical="center" textRotation="0" wrapText="false" indent="1" shrinkToFit="false"/>
      <protection locked="true" hidden="false"/>
    </xf>
    <xf numFmtId="164" fontId="15" fillId="0" borderId="0" xfId="0" applyFont="true" applyBorder="true" applyAlignment="true" applyProtection="false">
      <alignment horizontal="general" vertical="center" textRotation="0" wrapText="true" indent="1"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general" vertical="center" textRotation="0" wrapText="false" indent="1" shrinkToFit="false"/>
      <protection locked="true" hidden="false"/>
    </xf>
    <xf numFmtId="165" fontId="18" fillId="0" borderId="2" xfId="0" applyFont="true" applyBorder="true" applyAlignment="true" applyProtection="false">
      <alignment horizontal="center" vertical="center" textRotation="0" wrapText="false" indent="0" shrinkToFit="false"/>
      <protection locked="true" hidden="false"/>
    </xf>
    <xf numFmtId="164" fontId="18" fillId="0" borderId="4" xfId="0" applyFont="true" applyBorder="true" applyAlignment="true" applyProtection="false">
      <alignment horizontal="general" vertical="center" textRotation="0" wrapText="true" indent="1" shrinkToFit="false"/>
      <protection locked="true" hidden="false"/>
    </xf>
    <xf numFmtId="164" fontId="18" fillId="0" borderId="5" xfId="0" applyFont="true" applyBorder="true" applyAlignment="true" applyProtection="false">
      <alignment horizontal="general" vertical="center" textRotation="0" wrapText="true" indent="1"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false" hidden="false"/>
    </xf>
    <xf numFmtId="165" fontId="22"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center" vertical="bottom" textRotation="0" wrapText="false" indent="0" shrinkToFit="false"/>
      <protection locked="false" hidden="false"/>
    </xf>
    <xf numFmtId="164" fontId="23" fillId="2" borderId="6" xfId="0" applyFont="true" applyBorder="true" applyAlignment="true" applyProtection="false">
      <alignment horizontal="general" vertical="center" textRotation="0" wrapText="false" indent="1"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4" fillId="2" borderId="0" xfId="0" applyFont="true" applyBorder="true" applyAlignment="true" applyProtection="false">
      <alignment horizontal="general" vertical="center" textRotation="0" wrapText="true" indent="0" shrinkToFit="false"/>
      <protection locked="true" hidden="false"/>
    </xf>
    <xf numFmtId="164" fontId="25" fillId="3" borderId="2" xfId="0" applyFont="true" applyBorder="true" applyAlignment="true" applyProtection="false">
      <alignment horizontal="general" vertical="center" textRotation="0" wrapText="false" indent="1" shrinkToFit="false"/>
      <protection locked="true" hidden="false"/>
    </xf>
    <xf numFmtId="164" fontId="10" fillId="5" borderId="2" xfId="0" applyFont="true" applyBorder="true" applyAlignment="true" applyProtection="true">
      <alignment horizontal="center" vertical="center" textRotation="0" wrapText="false" indent="0" shrinkToFit="false"/>
      <protection locked="false" hidden="false"/>
    </xf>
    <xf numFmtId="164" fontId="23" fillId="2" borderId="2" xfId="0" applyFont="true" applyBorder="true" applyAlignment="true" applyProtection="false">
      <alignment horizontal="general" vertical="center" textRotation="0" wrapText="false" indent="1" shrinkToFit="false"/>
      <protection locked="true" hidden="false"/>
    </xf>
    <xf numFmtId="164" fontId="26" fillId="6" borderId="2" xfId="0" applyFont="true" applyBorder="true" applyAlignment="true" applyProtection="false">
      <alignment horizontal="center" vertical="center" textRotation="0" wrapText="false" indent="0" shrinkToFit="false"/>
      <protection locked="true" hidden="false"/>
    </xf>
    <xf numFmtId="164" fontId="27" fillId="2" borderId="2" xfId="0" applyFont="true" applyBorder="true" applyAlignment="true" applyProtection="false">
      <alignment horizontal="general" vertical="center" textRotation="0" wrapText="false" indent="1"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64" fontId="30" fillId="11" borderId="0" xfId="0" applyFont="true" applyBorder="false" applyAlignment="true" applyProtection="false">
      <alignment horizontal="general" vertical="center" textRotation="0" wrapText="true" indent="0" shrinkToFit="false"/>
      <protection locked="true" hidden="false"/>
    </xf>
    <xf numFmtId="164" fontId="31" fillId="12" borderId="7" xfId="0" applyFont="true" applyBorder="true" applyAlignment="true" applyProtection="false">
      <alignment horizontal="general" vertical="top" textRotation="0" wrapText="true" indent="0" shrinkToFit="false"/>
      <protection locked="true" hidden="false"/>
    </xf>
    <xf numFmtId="164" fontId="32" fillId="0" borderId="7" xfId="0" applyFont="true" applyBorder="true" applyAlignment="true" applyProtection="false">
      <alignment horizontal="general" vertical="top"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5" fontId="17" fillId="2"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true">
      <alignment horizontal="center" vertical="center" textRotation="0" wrapText="false" indent="0" shrinkToFit="false"/>
      <protection locked="false" hidden="false"/>
    </xf>
    <xf numFmtId="165" fontId="12" fillId="5" borderId="2" xfId="0" applyFont="true" applyBorder="true" applyAlignment="true" applyProtection="true">
      <alignment horizontal="center" vertical="center" textRotation="0" wrapText="false" indent="0" shrinkToFit="false"/>
      <protection locked="false" hidden="false"/>
    </xf>
    <xf numFmtId="164" fontId="33" fillId="6" borderId="2" xfId="0" applyFont="true" applyBorder="true" applyAlignment="true" applyProtection="false">
      <alignment horizontal="center" vertical="center" textRotation="0" wrapText="false" indent="0" shrinkToFit="false"/>
      <protection locked="true" hidden="false"/>
    </xf>
    <xf numFmtId="164" fontId="12" fillId="5" borderId="2" xfId="0" applyFont="true" applyBorder="true" applyAlignment="true" applyProtection="true">
      <alignment horizontal="center" vertical="center" textRotation="0" wrapText="tru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34" fillId="0" borderId="0" xfId="0" applyFont="true" applyBorder="true" applyAlignment="true" applyProtection="false">
      <alignment horizontal="general" vertical="top" textRotation="0" wrapText="tru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7" fillId="0" borderId="0" xfId="0" applyFont="true" applyBorder="fals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bottom" textRotation="0" wrapText="false" indent="0" shrinkToFit="false"/>
      <protection locked="true" hidden="false"/>
    </xf>
    <xf numFmtId="164" fontId="23" fillId="2" borderId="9" xfId="0" applyFont="true" applyBorder="true" applyAlignment="true" applyProtection="false">
      <alignment horizontal="center" vertical="center" textRotation="0" wrapText="false" indent="0" shrinkToFit="false"/>
      <protection locked="true" hidden="false"/>
    </xf>
    <xf numFmtId="164" fontId="23" fillId="2" borderId="2" xfId="0" applyFont="true" applyBorder="true" applyAlignment="true" applyProtection="false">
      <alignment horizontal="center" vertical="center" textRotation="0" wrapText="false" indent="0" shrinkToFit="false"/>
      <protection locked="true" hidden="false"/>
    </xf>
    <xf numFmtId="164" fontId="40" fillId="13" borderId="2" xfId="0" applyFont="true" applyBorder="true" applyAlignment="true" applyProtection="false">
      <alignment horizontal="center" vertical="center" textRotation="0" wrapText="false" indent="0" shrinkToFit="false"/>
      <protection locked="true" hidden="false"/>
    </xf>
    <xf numFmtId="164" fontId="4" fillId="0" borderId="10" xfId="0" applyFont="true" applyBorder="true" applyAlignment="true" applyProtection="false">
      <alignment horizontal="general" vertical="bottom" textRotation="0" wrapText="true" indent="0" shrinkToFit="false"/>
      <protection locked="true" hidden="false"/>
    </xf>
    <xf numFmtId="166" fontId="18" fillId="0" borderId="2" xfId="0" applyFont="true" applyBorder="true" applyAlignment="true" applyProtection="false">
      <alignment horizontal="center" vertical="center" textRotation="0" wrapText="false" indent="0" shrinkToFit="true"/>
      <protection locked="true" hidden="false"/>
    </xf>
    <xf numFmtId="166" fontId="12"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6" fontId="18" fillId="14" borderId="2" xfId="0" applyFont="true" applyBorder="true" applyAlignment="true" applyProtection="false">
      <alignment horizontal="center" vertical="center" textRotation="0" wrapText="false" indent="0" shrinkToFit="true"/>
      <protection locked="true" hidden="false"/>
    </xf>
    <xf numFmtId="166" fontId="12" fillId="14" borderId="2" xfId="0" applyFont="true" applyBorder="true" applyAlignment="true" applyProtection="false">
      <alignment horizontal="center" vertical="center" textRotation="0" wrapText="false" indent="0" shrinkToFit="false"/>
      <protection locked="true" hidden="false"/>
    </xf>
    <xf numFmtId="164" fontId="12" fillId="14" borderId="2" xfId="0" applyFont="true" applyBorder="true" applyAlignment="true" applyProtection="false">
      <alignment horizontal="center" vertical="center" textRotation="0" wrapText="false" indent="0" shrinkToFit="false"/>
      <protection locked="true" hidden="false"/>
    </xf>
    <xf numFmtId="165" fontId="28" fillId="0" borderId="0" xfId="0" applyFont="true" applyBorder="true" applyAlignment="true" applyProtection="false">
      <alignment horizontal="general" vertical="center" textRotation="0" wrapText="true" indent="0" shrinkToFit="false"/>
      <protection locked="true" hidden="false"/>
    </xf>
    <xf numFmtId="165" fontId="37" fillId="0" borderId="0" xfId="0" applyFont="true" applyBorder="false" applyAlignment="true" applyProtection="false">
      <alignment horizontal="left"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xf numFmtId="165" fontId="41" fillId="0" borderId="0" xfId="0" applyFont="true" applyBorder="true" applyAlignment="true" applyProtection="false">
      <alignment horizontal="general" vertical="center" textRotation="0" wrapText="false" indent="0" shrinkToFit="false"/>
      <protection locked="true" hidden="false"/>
    </xf>
    <xf numFmtId="165" fontId="35" fillId="0" borderId="0" xfId="0" applyFont="true" applyBorder="false" applyAlignment="true" applyProtection="false">
      <alignment horizontal="left"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left" vertical="bottom" textRotation="0" wrapText="true" indent="0" shrinkToFit="false"/>
      <protection locked="true" hidden="false"/>
    </xf>
    <xf numFmtId="165" fontId="3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0" fillId="2" borderId="6" xfId="0" applyFont="true" applyBorder="true" applyAlignment="true" applyProtection="false">
      <alignment horizontal="center" vertical="center" textRotation="0" wrapText="false" indent="0" shrinkToFit="false"/>
      <protection locked="true" hidden="false"/>
    </xf>
    <xf numFmtId="164" fontId="40" fillId="2"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6" xfId="0" applyFont="true" applyBorder="true" applyAlignment="true" applyProtection="false">
      <alignment horizontal="center" vertical="center" textRotation="0" wrapText="false" indent="0" shrinkToFit="false"/>
      <protection locked="true" hidden="false"/>
    </xf>
    <xf numFmtId="165" fontId="35" fillId="0" borderId="0" xfId="0" applyFont="true" applyBorder="false" applyAlignment="true" applyProtection="false">
      <alignment horizontal="right" vertical="bottom" textRotation="0" wrapText="false" indent="0" shrinkToFit="false"/>
      <protection locked="true" hidden="false"/>
    </xf>
    <xf numFmtId="165" fontId="35" fillId="0" borderId="0" xfId="0" applyFont="true" applyBorder="false" applyAlignment="true" applyProtection="false">
      <alignment horizontal="general" vertical="bottom" textRotation="0" wrapText="false" indent="0" shrinkToFit="false"/>
      <protection locked="true" hidden="false"/>
    </xf>
    <xf numFmtId="167" fontId="18" fillId="0" borderId="6" xfId="0" applyFont="true" applyBorder="true" applyAlignment="true" applyProtection="false">
      <alignment horizontal="center" vertical="center" textRotation="0" wrapText="false" indent="0" shrinkToFit="false"/>
      <protection locked="true" hidden="false"/>
    </xf>
    <xf numFmtId="167" fontId="3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FF7C2"/>
          <bgColor rgb="FF000000"/>
        </patternFill>
      </fill>
    </dxf>
    <dxf>
      <fill>
        <patternFill patternType="solid">
          <fgColor rgb="FF1A2B3A"/>
          <bgColor rgb="FF000000"/>
        </patternFill>
      </fill>
    </dxf>
    <dxf>
      <fill>
        <patternFill patternType="solid">
          <fgColor rgb="FFFFFFFF"/>
          <bgColor rgb="FF000000"/>
        </patternFill>
      </fill>
    </dxf>
    <dxf>
      <fill>
        <patternFill patternType="solid">
          <fgColor rgb="FFC9EEEA"/>
          <bgColor rgb="FF000000"/>
        </patternFill>
      </fill>
    </dxf>
    <dxf>
      <fill>
        <patternFill patternType="solid">
          <fgColor rgb="FF0B5D57"/>
          <bgColor rgb="FF000000"/>
        </patternFill>
      </fill>
    </dxf>
    <dxf>
      <font>
        <name val="Arial"/>
        <charset val="1"/>
        <family val="0"/>
        <b val="1"/>
        <color rgb="FF9C2B2B"/>
      </font>
      <fill>
        <patternFill>
          <bgColor rgb="FFF8CBAD"/>
        </patternFill>
      </fill>
      <border diagonalUp="false" diagonalDown="false">
        <left style="thin"/>
        <right style="thin"/>
        <top style="thin"/>
        <bottom style="thin"/>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5A6472"/>
      <rgbColor rgb="FF800080"/>
      <rgbColor rgb="FF0B5D57"/>
      <rgbColor rgb="FFB9C2CC"/>
      <rgbColor rgb="FF7A7A7A"/>
      <rgbColor rgb="FF9999FF"/>
      <rgbColor rgb="FF993366"/>
      <rgbColor rgb="FFFFF7C2"/>
      <rgbColor rgb="FFC9EEEA"/>
      <rgbColor rgb="FF660066"/>
      <rgbColor rgb="FFFF8080"/>
      <rgbColor rgb="FF2E5C8A"/>
      <rgbColor rgb="FFD9D9D9"/>
      <rgbColor rgb="FF000080"/>
      <rgbColor rgb="FFFF00FF"/>
      <rgbColor rgb="FFFFFF00"/>
      <rgbColor rgb="FF00FFFF"/>
      <rgbColor rgb="FF800080"/>
      <rgbColor rgb="FF800000"/>
      <rgbColor rgb="FF008080"/>
      <rgbColor rgb="FF0000FF"/>
      <rgbColor rgb="FF00CCFF"/>
      <rgbColor rgb="FFEEF2F6"/>
      <rgbColor rgb="FFE4E8EC"/>
      <rgbColor rgb="FFFFF3CD"/>
      <rgbColor rgb="FFD9DEE4"/>
      <rgbColor rgb="FFF2F6FA"/>
      <rgbColor rgb="FFD9E2F3"/>
      <rgbColor rgb="FFF8CBAD"/>
      <rgbColor rgb="FF3366FF"/>
      <rgbColor rgb="FF33CCCC"/>
      <rgbColor rgb="FF99CC00"/>
      <rgbColor rgb="FFFFC000"/>
      <rgbColor rgb="FFFF9900"/>
      <rgbColor rgb="FFFF6600"/>
      <rgbColor rgb="FF5B6B82"/>
      <rgbColor rgb="FFAAB4BE"/>
      <rgbColor rgb="FF1F3864"/>
      <rgbColor rgb="FF2E7D46"/>
      <rgbColor rgb="FF003300"/>
      <rgbColor rgb="FF1A1A1A"/>
      <rgbColor rgb="FF9C2B2B"/>
      <rgbColor rgb="FF993366"/>
      <rgbColor rgb="FF2F5496"/>
      <rgbColor rgb="FF1A2B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able1" displayName="Table1" ref="A9:L10" headerRowCount="1" totalsRowCount="0" totalsRowShown="0">
  <autoFilter ref="A9:L10"/>
  <tableColumns count="12">
    <tableColumn id="1" name="MRN"/>
    <tableColumn id="2" name="Last name"/>
    <tableColumn id="3" name="First Name"/>
    <tableColumn id="4" name="Stop Warfarin On:"/>
    <tableColumn id="5" name="Surgery Date"/>
    <tableColumn id="6" name="Lab Date:"/>
    <tableColumn id="7" name="Lab Loc:"/>
    <tableColumn id="8" name="Type of Surgery"/>
    <tableColumn id="9" name="Lovenox Dose (mg)"/>
    <tableColumn id="10" name="Once or Twice Daily dosing?"/>
    <tableColumn id="11" name="Next Syringe Size"/>
    <tableColumn id="12" name="Prepared By"/>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37" activeCellId="0" sqref="B37"/>
    </sheetView>
  </sheetViews>
  <sheetFormatPr defaultColWidth="9.1640625" defaultRowHeight="18" customHeight="false" zeroHeight="false" outlineLevelRow="0" outlineLevelCol="0"/>
  <cols>
    <col collapsed="false" customWidth="true" hidden="false" outlineLevel="0" max="1" min="1" style="1" width="9.52"/>
    <col collapsed="false" customWidth="true" hidden="false" outlineLevel="0" max="257" min="2" style="1" width="13.16"/>
    <col collapsed="false" customWidth="true" hidden="false" outlineLevel="0" max="258" min="258" style="1" width="11.67"/>
    <col collapsed="false" customWidth="false" hidden="false" outlineLevel="0" max="513" min="259" style="1" width="9.16"/>
    <col collapsed="false" customWidth="true" hidden="false" outlineLevel="0" max="514" min="514" style="1" width="11.67"/>
    <col collapsed="false" customWidth="false" hidden="false" outlineLevel="0" max="769" min="515" style="1" width="9.16"/>
    <col collapsed="false" customWidth="true" hidden="false" outlineLevel="0" max="770" min="770" style="1" width="11.67"/>
    <col collapsed="false" customWidth="false" hidden="false" outlineLevel="0" max="1025" min="771" style="1" width="9.16"/>
    <col collapsed="false" customWidth="true" hidden="false" outlineLevel="0" max="1026" min="1026" style="1" width="11.67"/>
    <col collapsed="false" customWidth="false" hidden="false" outlineLevel="0" max="1281" min="1027" style="1" width="9.16"/>
    <col collapsed="false" customWidth="true" hidden="false" outlineLevel="0" max="1282" min="1282" style="1" width="11.67"/>
    <col collapsed="false" customWidth="false" hidden="false" outlineLevel="0" max="1537" min="1283" style="1" width="9.16"/>
    <col collapsed="false" customWidth="true" hidden="false" outlineLevel="0" max="1538" min="1538" style="1" width="11.67"/>
    <col collapsed="false" customWidth="false" hidden="false" outlineLevel="0" max="1793" min="1539" style="1" width="9.16"/>
    <col collapsed="false" customWidth="true" hidden="false" outlineLevel="0" max="1794" min="1794" style="1" width="11.67"/>
    <col collapsed="false" customWidth="false" hidden="false" outlineLevel="0" max="2049" min="1795" style="1" width="9.16"/>
    <col collapsed="false" customWidth="true" hidden="false" outlineLevel="0" max="2050" min="2050" style="1" width="11.67"/>
    <col collapsed="false" customWidth="false" hidden="false" outlineLevel="0" max="2305" min="2051" style="1" width="9.16"/>
    <col collapsed="false" customWidth="true" hidden="false" outlineLevel="0" max="2306" min="2306" style="1" width="11.67"/>
    <col collapsed="false" customWidth="false" hidden="false" outlineLevel="0" max="2561" min="2307" style="1" width="9.16"/>
    <col collapsed="false" customWidth="true" hidden="false" outlineLevel="0" max="2562" min="2562" style="1" width="11.67"/>
    <col collapsed="false" customWidth="false" hidden="false" outlineLevel="0" max="2817" min="2563" style="1" width="9.16"/>
    <col collapsed="false" customWidth="true" hidden="false" outlineLevel="0" max="2818" min="2818" style="1" width="11.67"/>
    <col collapsed="false" customWidth="false" hidden="false" outlineLevel="0" max="3073" min="2819" style="1" width="9.16"/>
    <col collapsed="false" customWidth="true" hidden="false" outlineLevel="0" max="3074" min="3074" style="1" width="11.67"/>
    <col collapsed="false" customWidth="false" hidden="false" outlineLevel="0" max="3329" min="3075" style="1" width="9.16"/>
    <col collapsed="false" customWidth="true" hidden="false" outlineLevel="0" max="3330" min="3330" style="1" width="11.67"/>
    <col collapsed="false" customWidth="false" hidden="false" outlineLevel="0" max="3585" min="3331" style="1" width="9.16"/>
    <col collapsed="false" customWidth="true" hidden="false" outlineLevel="0" max="3586" min="3586" style="1" width="11.67"/>
    <col collapsed="false" customWidth="false" hidden="false" outlineLevel="0" max="3841" min="3587" style="1" width="9.16"/>
    <col collapsed="false" customWidth="true" hidden="false" outlineLevel="0" max="3842" min="3842" style="1" width="11.67"/>
    <col collapsed="false" customWidth="false" hidden="false" outlineLevel="0" max="4097" min="3843" style="1" width="9.16"/>
    <col collapsed="false" customWidth="true" hidden="false" outlineLevel="0" max="4098" min="4098" style="1" width="11.67"/>
    <col collapsed="false" customWidth="false" hidden="false" outlineLevel="0" max="4353" min="4099" style="1" width="9.16"/>
    <col collapsed="false" customWidth="true" hidden="false" outlineLevel="0" max="4354" min="4354" style="1" width="11.67"/>
    <col collapsed="false" customWidth="false" hidden="false" outlineLevel="0" max="4609" min="4355" style="1" width="9.16"/>
    <col collapsed="false" customWidth="true" hidden="false" outlineLevel="0" max="4610" min="4610" style="1" width="11.67"/>
    <col collapsed="false" customWidth="false" hidden="false" outlineLevel="0" max="4865" min="4611" style="1" width="9.16"/>
    <col collapsed="false" customWidth="true" hidden="false" outlineLevel="0" max="4866" min="4866" style="1" width="11.67"/>
    <col collapsed="false" customWidth="false" hidden="false" outlineLevel="0" max="5121" min="4867" style="1" width="9.16"/>
    <col collapsed="false" customWidth="true" hidden="false" outlineLevel="0" max="5122" min="5122" style="1" width="11.67"/>
    <col collapsed="false" customWidth="false" hidden="false" outlineLevel="0" max="5377" min="5123" style="1" width="9.16"/>
    <col collapsed="false" customWidth="true" hidden="false" outlineLevel="0" max="5378" min="5378" style="1" width="11.67"/>
    <col collapsed="false" customWidth="false" hidden="false" outlineLevel="0" max="5633" min="5379" style="1" width="9.16"/>
    <col collapsed="false" customWidth="true" hidden="false" outlineLevel="0" max="5634" min="5634" style="1" width="11.67"/>
    <col collapsed="false" customWidth="false" hidden="false" outlineLevel="0" max="5889" min="5635" style="1" width="9.16"/>
    <col collapsed="false" customWidth="true" hidden="false" outlineLevel="0" max="5890" min="5890" style="1" width="11.67"/>
    <col collapsed="false" customWidth="false" hidden="false" outlineLevel="0" max="6145" min="5891" style="1" width="9.16"/>
    <col collapsed="false" customWidth="true" hidden="false" outlineLevel="0" max="6146" min="6146" style="1" width="11.67"/>
    <col collapsed="false" customWidth="false" hidden="false" outlineLevel="0" max="6401" min="6147" style="1" width="9.16"/>
    <col collapsed="false" customWidth="true" hidden="false" outlineLevel="0" max="6402" min="6402" style="1" width="11.67"/>
    <col collapsed="false" customWidth="false" hidden="false" outlineLevel="0" max="6657" min="6403" style="1" width="9.16"/>
    <col collapsed="false" customWidth="true" hidden="false" outlineLevel="0" max="6658" min="6658" style="1" width="11.67"/>
    <col collapsed="false" customWidth="false" hidden="false" outlineLevel="0" max="6913" min="6659" style="1" width="9.16"/>
    <col collapsed="false" customWidth="true" hidden="false" outlineLevel="0" max="6914" min="6914" style="1" width="11.67"/>
    <col collapsed="false" customWidth="false" hidden="false" outlineLevel="0" max="7169" min="6915" style="1" width="9.16"/>
    <col collapsed="false" customWidth="true" hidden="false" outlineLevel="0" max="7170" min="7170" style="1" width="11.67"/>
    <col collapsed="false" customWidth="false" hidden="false" outlineLevel="0" max="7425" min="7171" style="1" width="9.16"/>
    <col collapsed="false" customWidth="true" hidden="false" outlineLevel="0" max="7426" min="7426" style="1" width="11.67"/>
    <col collapsed="false" customWidth="false" hidden="false" outlineLevel="0" max="7681" min="7427" style="1" width="9.16"/>
    <col collapsed="false" customWidth="true" hidden="false" outlineLevel="0" max="7682" min="7682" style="1" width="11.67"/>
    <col collapsed="false" customWidth="false" hidden="false" outlineLevel="0" max="7937" min="7683" style="1" width="9.16"/>
    <col collapsed="false" customWidth="true" hidden="false" outlineLevel="0" max="7938" min="7938" style="1" width="11.67"/>
    <col collapsed="false" customWidth="false" hidden="false" outlineLevel="0" max="8193" min="7939" style="1" width="9.16"/>
    <col collapsed="false" customWidth="true" hidden="false" outlineLevel="0" max="8194" min="8194" style="1" width="11.67"/>
    <col collapsed="false" customWidth="false" hidden="false" outlineLevel="0" max="8449" min="8195" style="1" width="9.16"/>
    <col collapsed="false" customWidth="true" hidden="false" outlineLevel="0" max="8450" min="8450" style="1" width="11.67"/>
    <col collapsed="false" customWidth="false" hidden="false" outlineLevel="0" max="8705" min="8451" style="1" width="9.16"/>
    <col collapsed="false" customWidth="true" hidden="false" outlineLevel="0" max="8706" min="8706" style="1" width="11.67"/>
    <col collapsed="false" customWidth="false" hidden="false" outlineLevel="0" max="8961" min="8707" style="1" width="9.16"/>
    <col collapsed="false" customWidth="true" hidden="false" outlineLevel="0" max="8962" min="8962" style="1" width="11.67"/>
    <col collapsed="false" customWidth="false" hidden="false" outlineLevel="0" max="9217" min="8963" style="1" width="9.16"/>
    <col collapsed="false" customWidth="true" hidden="false" outlineLevel="0" max="9218" min="9218" style="1" width="11.67"/>
    <col collapsed="false" customWidth="false" hidden="false" outlineLevel="0" max="9473" min="9219" style="1" width="9.16"/>
    <col collapsed="false" customWidth="true" hidden="false" outlineLevel="0" max="9474" min="9474" style="1" width="11.67"/>
    <col collapsed="false" customWidth="false" hidden="false" outlineLevel="0" max="9729" min="9475" style="1" width="9.16"/>
    <col collapsed="false" customWidth="true" hidden="false" outlineLevel="0" max="9730" min="9730" style="1" width="11.67"/>
    <col collapsed="false" customWidth="false" hidden="false" outlineLevel="0" max="9985" min="9731" style="1" width="9.16"/>
    <col collapsed="false" customWidth="true" hidden="false" outlineLevel="0" max="9986" min="9986" style="1" width="11.67"/>
    <col collapsed="false" customWidth="false" hidden="false" outlineLevel="0" max="10241" min="9987" style="1" width="9.16"/>
    <col collapsed="false" customWidth="true" hidden="false" outlineLevel="0" max="10242" min="10242" style="1" width="11.67"/>
    <col collapsed="false" customWidth="false" hidden="false" outlineLevel="0" max="10497" min="10243" style="1" width="9.16"/>
    <col collapsed="false" customWidth="true" hidden="false" outlineLevel="0" max="10498" min="10498" style="1" width="11.67"/>
    <col collapsed="false" customWidth="false" hidden="false" outlineLevel="0" max="10753" min="10499" style="1" width="9.16"/>
    <col collapsed="false" customWidth="true" hidden="false" outlineLevel="0" max="10754" min="10754" style="1" width="11.67"/>
    <col collapsed="false" customWidth="false" hidden="false" outlineLevel="0" max="11009" min="10755" style="1" width="9.16"/>
    <col collapsed="false" customWidth="true" hidden="false" outlineLevel="0" max="11010" min="11010" style="1" width="11.67"/>
    <col collapsed="false" customWidth="false" hidden="false" outlineLevel="0" max="11265" min="11011" style="1" width="9.16"/>
    <col collapsed="false" customWidth="true" hidden="false" outlineLevel="0" max="11266" min="11266" style="1" width="11.67"/>
    <col collapsed="false" customWidth="false" hidden="false" outlineLevel="0" max="11521" min="11267" style="1" width="9.16"/>
    <col collapsed="false" customWidth="true" hidden="false" outlineLevel="0" max="11522" min="11522" style="1" width="11.67"/>
    <col collapsed="false" customWidth="false" hidden="false" outlineLevel="0" max="11777" min="11523" style="1" width="9.16"/>
    <col collapsed="false" customWidth="true" hidden="false" outlineLevel="0" max="11778" min="11778" style="1" width="11.67"/>
    <col collapsed="false" customWidth="false" hidden="false" outlineLevel="0" max="12033" min="11779" style="1" width="9.16"/>
    <col collapsed="false" customWidth="true" hidden="false" outlineLevel="0" max="12034" min="12034" style="1" width="11.67"/>
    <col collapsed="false" customWidth="false" hidden="false" outlineLevel="0" max="12289" min="12035" style="1" width="9.16"/>
    <col collapsed="false" customWidth="true" hidden="false" outlineLevel="0" max="12290" min="12290" style="1" width="11.67"/>
    <col collapsed="false" customWidth="false" hidden="false" outlineLevel="0" max="12545" min="12291" style="1" width="9.16"/>
    <col collapsed="false" customWidth="true" hidden="false" outlineLevel="0" max="12546" min="12546" style="1" width="11.67"/>
    <col collapsed="false" customWidth="false" hidden="false" outlineLevel="0" max="12801" min="12547" style="1" width="9.16"/>
    <col collapsed="false" customWidth="true" hidden="false" outlineLevel="0" max="12802" min="12802" style="1" width="11.67"/>
    <col collapsed="false" customWidth="false" hidden="false" outlineLevel="0" max="13057" min="12803" style="1" width="9.16"/>
    <col collapsed="false" customWidth="true" hidden="false" outlineLevel="0" max="13058" min="13058" style="1" width="11.67"/>
    <col collapsed="false" customWidth="false" hidden="false" outlineLevel="0" max="13313" min="13059" style="1" width="9.16"/>
    <col collapsed="false" customWidth="true" hidden="false" outlineLevel="0" max="13314" min="13314" style="1" width="11.67"/>
    <col collapsed="false" customWidth="false" hidden="false" outlineLevel="0" max="13569" min="13315" style="1" width="9.16"/>
    <col collapsed="false" customWidth="true" hidden="false" outlineLevel="0" max="13570" min="13570" style="1" width="11.67"/>
    <col collapsed="false" customWidth="false" hidden="false" outlineLevel="0" max="13825" min="13571" style="1" width="9.16"/>
    <col collapsed="false" customWidth="true" hidden="false" outlineLevel="0" max="13826" min="13826" style="1" width="11.67"/>
    <col collapsed="false" customWidth="false" hidden="false" outlineLevel="0" max="14081" min="13827" style="1" width="9.16"/>
    <col collapsed="false" customWidth="true" hidden="false" outlineLevel="0" max="14082" min="14082" style="1" width="11.67"/>
    <col collapsed="false" customWidth="false" hidden="false" outlineLevel="0" max="14337" min="14083" style="1" width="9.16"/>
    <col collapsed="false" customWidth="true" hidden="false" outlineLevel="0" max="14338" min="14338" style="1" width="11.67"/>
    <col collapsed="false" customWidth="false" hidden="false" outlineLevel="0" max="14593" min="14339" style="1" width="9.16"/>
    <col collapsed="false" customWidth="true" hidden="false" outlineLevel="0" max="14594" min="14594" style="1" width="11.67"/>
    <col collapsed="false" customWidth="false" hidden="false" outlineLevel="0" max="14849" min="14595" style="1" width="9.16"/>
    <col collapsed="false" customWidth="true" hidden="false" outlineLevel="0" max="14850" min="14850" style="1" width="11.67"/>
    <col collapsed="false" customWidth="false" hidden="false" outlineLevel="0" max="15105" min="14851" style="1" width="9.16"/>
    <col collapsed="false" customWidth="true" hidden="false" outlineLevel="0" max="15106" min="15106" style="1" width="11.67"/>
    <col collapsed="false" customWidth="false" hidden="false" outlineLevel="0" max="15361" min="15107" style="1" width="9.16"/>
    <col collapsed="false" customWidth="true" hidden="false" outlineLevel="0" max="15362" min="15362" style="1" width="11.67"/>
    <col collapsed="false" customWidth="false" hidden="false" outlineLevel="0" max="15617" min="15363" style="1" width="9.16"/>
    <col collapsed="false" customWidth="true" hidden="false" outlineLevel="0" max="15618" min="15618" style="1" width="11.67"/>
    <col collapsed="false" customWidth="false" hidden="false" outlineLevel="0" max="15873" min="15619" style="1" width="9.16"/>
    <col collapsed="false" customWidth="true" hidden="false" outlineLevel="0" max="15874" min="15874" style="1" width="11.67"/>
    <col collapsed="false" customWidth="false" hidden="false" outlineLevel="0" max="16129" min="15875" style="1" width="9.16"/>
    <col collapsed="false" customWidth="true" hidden="false" outlineLevel="0" max="16130" min="16130" style="1" width="11.67"/>
    <col collapsed="false" customWidth="false" hidden="false" outlineLevel="0" max="16384" min="16131" style="1" width="9.16"/>
  </cols>
  <sheetData>
    <row r="1" customFormat="false" ht="30" hidden="false" customHeight="true" outlineLevel="0" collapsed="false">
      <c r="A1" s="2" t="s">
        <v>0</v>
      </c>
      <c r="B1" s="2"/>
      <c r="C1" s="2"/>
      <c r="D1" s="2"/>
      <c r="E1" s="2"/>
      <c r="F1" s="2"/>
      <c r="G1" s="2"/>
      <c r="H1" s="2"/>
      <c r="I1" s="3"/>
      <c r="J1" s="3"/>
      <c r="K1" s="3"/>
      <c r="L1" s="3"/>
    </row>
    <row r="2" customFormat="false" ht="19.5" hidden="false" customHeight="true" outlineLevel="0" collapsed="false">
      <c r="A2" s="4" t="s">
        <v>1</v>
      </c>
      <c r="B2" s="4"/>
      <c r="C2" s="4"/>
      <c r="D2" s="4"/>
      <c r="E2" s="4"/>
      <c r="F2" s="4"/>
      <c r="G2" s="4"/>
      <c r="H2" s="4"/>
      <c r="I2" s="3"/>
      <c r="J2" s="3"/>
      <c r="K2" s="3"/>
      <c r="L2" s="3"/>
    </row>
    <row r="3" customFormat="false" ht="7.5" hidden="false" customHeight="true" outlineLevel="0" collapsed="false">
      <c r="A3" s="3"/>
      <c r="B3" s="3"/>
      <c r="C3" s="3"/>
      <c r="D3" s="3"/>
      <c r="E3" s="3"/>
      <c r="F3" s="3"/>
      <c r="G3" s="3"/>
      <c r="H3" s="3"/>
      <c r="I3" s="3"/>
      <c r="J3" s="3"/>
      <c r="K3" s="3"/>
      <c r="L3" s="3"/>
    </row>
    <row r="4" customFormat="false" ht="21.75" hidden="false" customHeight="true" outlineLevel="0" collapsed="false">
      <c r="A4" s="5" t="s">
        <v>2</v>
      </c>
      <c r="B4" s="5"/>
      <c r="C4" s="5"/>
      <c r="D4" s="5"/>
      <c r="E4" s="5"/>
      <c r="F4" s="5"/>
      <c r="G4" s="5"/>
      <c r="H4" s="5"/>
      <c r="I4" s="3"/>
      <c r="J4" s="3"/>
      <c r="K4" s="3"/>
      <c r="L4" s="3"/>
    </row>
    <row r="5" customFormat="false" ht="30" hidden="false" customHeight="true" outlineLevel="0" collapsed="false">
      <c r="A5" s="6" t="n">
        <v>1</v>
      </c>
      <c r="B5" s="7" t="s">
        <v>3</v>
      </c>
      <c r="C5" s="7"/>
      <c r="D5" s="7"/>
      <c r="E5" s="7"/>
      <c r="F5" s="7"/>
      <c r="G5" s="7"/>
      <c r="H5" s="7"/>
      <c r="I5" s="3"/>
      <c r="J5" s="3"/>
      <c r="K5" s="3"/>
      <c r="L5" s="3"/>
    </row>
    <row r="6" customFormat="false" ht="30" hidden="false" customHeight="true" outlineLevel="0" collapsed="false">
      <c r="A6" s="6" t="n">
        <v>2</v>
      </c>
      <c r="B6" s="7" t="s">
        <v>4</v>
      </c>
      <c r="C6" s="7"/>
      <c r="D6" s="7"/>
      <c r="E6" s="7"/>
      <c r="F6" s="7"/>
      <c r="G6" s="7"/>
      <c r="H6" s="7"/>
      <c r="I6" s="3"/>
      <c r="J6" s="3"/>
      <c r="K6" s="3"/>
      <c r="L6" s="3"/>
    </row>
    <row r="7" customFormat="false" ht="33.75" hidden="false" customHeight="true" outlineLevel="0" collapsed="false">
      <c r="A7" s="6" t="n">
        <v>3</v>
      </c>
      <c r="B7" s="7" t="s">
        <v>5</v>
      </c>
      <c r="C7" s="7"/>
      <c r="D7" s="7"/>
      <c r="E7" s="7"/>
      <c r="F7" s="7"/>
      <c r="G7" s="7"/>
      <c r="H7" s="7"/>
      <c r="I7" s="3"/>
      <c r="J7" s="3"/>
      <c r="K7" s="3"/>
      <c r="L7" s="3"/>
    </row>
    <row r="8" customFormat="false" ht="30" hidden="false" customHeight="true" outlineLevel="0" collapsed="false">
      <c r="A8" s="6" t="n">
        <v>4</v>
      </c>
      <c r="B8" s="7" t="s">
        <v>6</v>
      </c>
      <c r="C8" s="7"/>
      <c r="D8" s="7"/>
      <c r="E8" s="7"/>
      <c r="F8" s="7"/>
      <c r="G8" s="7"/>
      <c r="H8" s="7"/>
      <c r="I8" s="3"/>
      <c r="J8" s="3"/>
      <c r="K8" s="3"/>
      <c r="L8" s="3"/>
    </row>
    <row r="9" customFormat="false" ht="42" hidden="false" customHeight="true" outlineLevel="0" collapsed="false">
      <c r="A9" s="8" t="s">
        <v>7</v>
      </c>
      <c r="B9" s="8"/>
      <c r="C9" s="8"/>
      <c r="D9" s="8"/>
      <c r="E9" s="8"/>
      <c r="F9" s="8"/>
      <c r="G9" s="8"/>
      <c r="H9" s="8"/>
      <c r="I9" s="3"/>
      <c r="J9" s="3"/>
      <c r="K9" s="3"/>
      <c r="L9" s="3"/>
    </row>
    <row r="10" customFormat="false" ht="7.5" hidden="false" customHeight="true" outlineLevel="0" collapsed="false">
      <c r="A10" s="3"/>
      <c r="B10" s="3"/>
      <c r="C10" s="3"/>
      <c r="D10" s="3"/>
      <c r="E10" s="3"/>
      <c r="F10" s="3"/>
      <c r="G10" s="3"/>
      <c r="H10" s="3"/>
      <c r="I10" s="3"/>
      <c r="J10" s="3"/>
      <c r="K10" s="3"/>
      <c r="L10" s="3"/>
    </row>
    <row r="11" customFormat="false" ht="21.75" hidden="false" customHeight="true" outlineLevel="0" collapsed="false">
      <c r="A11" s="5" t="s">
        <v>8</v>
      </c>
      <c r="B11" s="5"/>
      <c r="C11" s="5"/>
      <c r="D11" s="5"/>
      <c r="E11" s="5"/>
      <c r="F11" s="5"/>
      <c r="G11" s="5"/>
      <c r="H11" s="5"/>
      <c r="I11" s="3"/>
      <c r="J11" s="3"/>
      <c r="K11" s="3"/>
      <c r="L11" s="3"/>
    </row>
    <row r="12" customFormat="false" ht="30" hidden="false" customHeight="true" outlineLevel="0" collapsed="false">
      <c r="A12" s="6" t="n">
        <v>1</v>
      </c>
      <c r="B12" s="7" t="s">
        <v>9</v>
      </c>
      <c r="C12" s="7"/>
      <c r="D12" s="7"/>
      <c r="E12" s="7"/>
      <c r="F12" s="7"/>
      <c r="G12" s="7"/>
      <c r="H12" s="7"/>
      <c r="I12" s="3"/>
      <c r="J12" s="3"/>
      <c r="K12" s="3"/>
      <c r="L12" s="3"/>
    </row>
    <row r="13" customFormat="false" ht="30" hidden="false" customHeight="true" outlineLevel="0" collapsed="false">
      <c r="A13" s="6" t="n">
        <v>2</v>
      </c>
      <c r="B13" s="7" t="s">
        <v>10</v>
      </c>
      <c r="C13" s="7"/>
      <c r="D13" s="7"/>
      <c r="E13" s="7"/>
      <c r="F13" s="7"/>
      <c r="G13" s="7"/>
      <c r="H13" s="7"/>
      <c r="I13" s="3"/>
      <c r="J13" s="3"/>
      <c r="K13" s="3"/>
      <c r="L13" s="3"/>
    </row>
    <row r="14" customFormat="false" ht="27.75" hidden="false" customHeight="true" outlineLevel="0" collapsed="false">
      <c r="A14" s="8" t="s">
        <v>11</v>
      </c>
      <c r="B14" s="8"/>
      <c r="C14" s="8"/>
      <c r="D14" s="8"/>
      <c r="E14" s="8"/>
      <c r="F14" s="8"/>
      <c r="G14" s="8"/>
      <c r="H14" s="8"/>
      <c r="I14" s="3"/>
      <c r="J14" s="3"/>
      <c r="K14" s="3"/>
      <c r="L14" s="3"/>
    </row>
    <row r="15" customFormat="false" ht="7.5" hidden="false" customHeight="true" outlineLevel="0" collapsed="false">
      <c r="A15" s="3"/>
      <c r="B15" s="3"/>
      <c r="C15" s="3"/>
      <c r="D15" s="3"/>
      <c r="E15" s="3"/>
      <c r="F15" s="3"/>
      <c r="G15" s="3"/>
      <c r="H15" s="3"/>
      <c r="I15" s="3"/>
      <c r="J15" s="3"/>
      <c r="K15" s="3"/>
      <c r="L15" s="3"/>
    </row>
    <row r="16" customFormat="false" ht="21.75" hidden="false" customHeight="true" outlineLevel="0" collapsed="false">
      <c r="A16" s="5" t="s">
        <v>12</v>
      </c>
      <c r="B16" s="5"/>
      <c r="C16" s="5"/>
      <c r="D16" s="5"/>
      <c r="E16" s="5"/>
      <c r="F16" s="5"/>
      <c r="G16" s="5"/>
      <c r="H16" s="5"/>
      <c r="I16" s="3"/>
      <c r="J16" s="3"/>
      <c r="K16" s="3"/>
      <c r="L16" s="3"/>
    </row>
    <row r="17" customFormat="false" ht="19.5" hidden="false" customHeight="true" outlineLevel="0" collapsed="false">
      <c r="A17" s="9"/>
      <c r="B17" s="10" t="s">
        <v>13</v>
      </c>
      <c r="C17" s="10"/>
      <c r="D17" s="10"/>
      <c r="E17" s="11"/>
      <c r="F17" s="10" t="s">
        <v>14</v>
      </c>
      <c r="G17" s="10"/>
      <c r="H17" s="10"/>
      <c r="I17" s="3"/>
      <c r="J17" s="3"/>
      <c r="K17" s="3"/>
      <c r="L17" s="3"/>
    </row>
    <row r="18" customFormat="false" ht="7.5" hidden="false" customHeight="true" outlineLevel="0" collapsed="false">
      <c r="A18" s="3"/>
      <c r="B18" s="12"/>
      <c r="C18" s="3"/>
      <c r="D18" s="3"/>
      <c r="E18" s="3"/>
      <c r="F18" s="3"/>
      <c r="G18" s="3"/>
      <c r="H18" s="3"/>
      <c r="I18" s="3"/>
      <c r="J18" s="3"/>
      <c r="K18" s="3"/>
      <c r="L18" s="3"/>
    </row>
    <row r="19" customFormat="false" ht="21.75" hidden="false" customHeight="true" outlineLevel="0" collapsed="false">
      <c r="A19" s="5" t="s">
        <v>15</v>
      </c>
      <c r="B19" s="5"/>
      <c r="C19" s="5"/>
      <c r="D19" s="5"/>
      <c r="E19" s="5"/>
      <c r="F19" s="5"/>
      <c r="G19" s="5"/>
      <c r="H19" s="5"/>
      <c r="I19" s="3"/>
      <c r="J19" s="3"/>
      <c r="K19" s="3"/>
      <c r="L19" s="3"/>
    </row>
    <row r="20" customFormat="false" ht="25.5" hidden="false" customHeight="true" outlineLevel="0" collapsed="false">
      <c r="A20" s="13"/>
      <c r="B20" s="14" t="s">
        <v>16</v>
      </c>
      <c r="C20" s="14"/>
      <c r="D20" s="15" t="s">
        <v>17</v>
      </c>
      <c r="E20" s="15"/>
      <c r="F20" s="15"/>
      <c r="G20" s="15"/>
      <c r="H20" s="15"/>
      <c r="I20" s="3"/>
      <c r="J20" s="3"/>
      <c r="K20" s="3"/>
      <c r="L20" s="3"/>
    </row>
    <row r="21" customFormat="false" ht="25.5" hidden="false" customHeight="true" outlineLevel="0" collapsed="false">
      <c r="A21" s="16"/>
      <c r="B21" s="14" t="s">
        <v>18</v>
      </c>
      <c r="C21" s="14"/>
      <c r="D21" s="15" t="s">
        <v>19</v>
      </c>
      <c r="E21" s="15"/>
      <c r="F21" s="15"/>
      <c r="G21" s="15"/>
      <c r="H21" s="15"/>
      <c r="I21" s="3"/>
      <c r="J21" s="3"/>
      <c r="K21" s="3"/>
      <c r="L21" s="3"/>
    </row>
    <row r="22" customFormat="false" ht="25.5" hidden="false" customHeight="true" outlineLevel="0" collapsed="false">
      <c r="A22" s="17"/>
      <c r="B22" s="14" t="s">
        <v>20</v>
      </c>
      <c r="C22" s="14"/>
      <c r="D22" s="15" t="s">
        <v>21</v>
      </c>
      <c r="E22" s="15"/>
      <c r="F22" s="15"/>
      <c r="G22" s="15"/>
      <c r="H22" s="15"/>
      <c r="I22" s="3"/>
      <c r="J22" s="3"/>
      <c r="K22" s="3"/>
      <c r="L22" s="3"/>
    </row>
    <row r="23" customFormat="false" ht="25.5" hidden="false" customHeight="true" outlineLevel="0" collapsed="false">
      <c r="A23" s="18"/>
      <c r="B23" s="19" t="s">
        <v>22</v>
      </c>
      <c r="C23" s="19"/>
      <c r="D23" s="15" t="s">
        <v>23</v>
      </c>
      <c r="E23" s="15"/>
      <c r="F23" s="15"/>
      <c r="G23" s="15"/>
      <c r="H23" s="15"/>
      <c r="I23" s="3"/>
      <c r="J23" s="3"/>
      <c r="K23" s="3"/>
      <c r="L23" s="3"/>
    </row>
    <row r="24" customFormat="false" ht="7.5" hidden="false" customHeight="true" outlineLevel="0" collapsed="false">
      <c r="A24" s="3"/>
      <c r="B24" s="12"/>
      <c r="C24" s="12"/>
      <c r="D24" s="3"/>
      <c r="E24" s="3"/>
      <c r="F24" s="3"/>
      <c r="G24" s="3"/>
      <c r="H24" s="3"/>
      <c r="I24" s="3"/>
      <c r="J24" s="3"/>
      <c r="K24" s="3"/>
      <c r="L24" s="3"/>
    </row>
    <row r="25" customFormat="false" ht="21.75" hidden="false" customHeight="true" outlineLevel="0" collapsed="false">
      <c r="A25" s="5" t="s">
        <v>24</v>
      </c>
      <c r="B25" s="5"/>
      <c r="C25" s="5"/>
      <c r="D25" s="5"/>
      <c r="E25" s="5"/>
      <c r="F25" s="5"/>
      <c r="G25" s="5"/>
      <c r="H25" s="5"/>
      <c r="I25" s="3"/>
      <c r="J25" s="3"/>
      <c r="K25" s="3"/>
      <c r="L25" s="3"/>
    </row>
    <row r="26" customFormat="false" ht="27.75" hidden="false" customHeight="true" outlineLevel="0" collapsed="false">
      <c r="A26" s="20" t="s">
        <v>25</v>
      </c>
      <c r="B26" s="20"/>
      <c r="C26" s="20"/>
      <c r="D26" s="20"/>
      <c r="E26" s="20"/>
      <c r="F26" s="21" t="s">
        <v>26</v>
      </c>
      <c r="G26" s="21"/>
      <c r="H26" s="21"/>
      <c r="I26" s="3"/>
      <c r="J26" s="3"/>
      <c r="K26" s="3"/>
      <c r="L26" s="3"/>
    </row>
    <row r="27" customFormat="false" ht="15.75" hidden="false" customHeight="true" outlineLevel="0" collapsed="false">
      <c r="A27" s="22" t="s">
        <v>27</v>
      </c>
      <c r="B27" s="22"/>
      <c r="C27" s="22"/>
      <c r="D27" s="22"/>
      <c r="E27" s="23" t="s">
        <v>28</v>
      </c>
      <c r="F27" s="23"/>
      <c r="G27" s="23"/>
      <c r="H27" s="23"/>
      <c r="I27" s="3"/>
      <c r="J27" s="3"/>
      <c r="K27" s="3"/>
      <c r="L27" s="3"/>
    </row>
    <row r="28" customFormat="false" ht="6" hidden="false" customHeight="true" outlineLevel="0" collapsed="false">
      <c r="A28" s="3"/>
      <c r="B28" s="3"/>
      <c r="C28" s="3"/>
      <c r="D28" s="3"/>
      <c r="E28" s="3"/>
      <c r="F28" s="3"/>
      <c r="G28" s="3"/>
      <c r="H28" s="3"/>
      <c r="I28" s="3"/>
      <c r="J28" s="3"/>
      <c r="K28" s="3"/>
      <c r="L28" s="3"/>
    </row>
    <row r="29" customFormat="false" ht="27.75" hidden="false" customHeight="true" outlineLevel="0" collapsed="false">
      <c r="A29" s="24" t="s">
        <v>29</v>
      </c>
      <c r="B29" s="24"/>
      <c r="C29" s="24"/>
      <c r="D29" s="24"/>
      <c r="E29" s="24"/>
      <c r="F29" s="21" t="s">
        <v>30</v>
      </c>
      <c r="G29" s="21"/>
      <c r="H29" s="21"/>
      <c r="I29" s="3"/>
      <c r="J29" s="3"/>
      <c r="K29" s="3"/>
      <c r="L29" s="3"/>
    </row>
    <row r="30" customFormat="false" ht="15.75" hidden="false" customHeight="true" outlineLevel="0" collapsed="false">
      <c r="A30" s="23" t="s">
        <v>31</v>
      </c>
      <c r="B30" s="23"/>
      <c r="C30" s="23"/>
      <c r="D30" s="23"/>
      <c r="E30" s="23" t="s">
        <v>32</v>
      </c>
      <c r="F30" s="23"/>
      <c r="G30" s="23"/>
      <c r="H30" s="23"/>
      <c r="I30" s="3"/>
      <c r="J30" s="3"/>
      <c r="K30" s="3"/>
      <c r="L30" s="3"/>
    </row>
    <row r="31" customFormat="false" ht="6" hidden="false" customHeight="true" outlineLevel="0" collapsed="false">
      <c r="A31" s="3"/>
      <c r="B31" s="3"/>
      <c r="C31" s="3"/>
      <c r="D31" s="3"/>
      <c r="E31" s="3"/>
      <c r="F31" s="3"/>
      <c r="G31" s="3"/>
      <c r="H31" s="3"/>
      <c r="I31" s="3"/>
      <c r="J31" s="3"/>
      <c r="K31" s="3"/>
      <c r="L31" s="3"/>
    </row>
    <row r="32" customFormat="false" ht="27.75" hidden="false" customHeight="true" outlineLevel="0" collapsed="false">
      <c r="A32" s="24" t="s">
        <v>33</v>
      </c>
      <c r="B32" s="24"/>
      <c r="C32" s="24"/>
      <c r="D32" s="24"/>
      <c r="E32" s="24"/>
      <c r="F32" s="21" t="s">
        <v>34</v>
      </c>
      <c r="G32" s="21"/>
      <c r="H32" s="21"/>
      <c r="I32" s="3"/>
      <c r="J32" s="3"/>
      <c r="K32" s="3"/>
      <c r="L32" s="3"/>
    </row>
    <row r="33" customFormat="false" ht="15.75" hidden="false" customHeight="true" outlineLevel="0" collapsed="false">
      <c r="A33" s="23" t="s">
        <v>35</v>
      </c>
      <c r="B33" s="23"/>
      <c r="C33" s="23"/>
      <c r="D33" s="23"/>
      <c r="E33" s="23" t="s">
        <v>36</v>
      </c>
      <c r="F33" s="23"/>
      <c r="G33" s="23"/>
      <c r="H33" s="23"/>
      <c r="I33" s="3"/>
      <c r="J33" s="3"/>
      <c r="K33" s="3"/>
      <c r="L33" s="3"/>
    </row>
    <row r="34" customFormat="false" ht="6" hidden="false" customHeight="true" outlineLevel="0" collapsed="false">
      <c r="A34" s="3"/>
      <c r="B34" s="3"/>
      <c r="C34" s="3"/>
      <c r="D34" s="3"/>
      <c r="E34" s="3"/>
      <c r="F34" s="3"/>
      <c r="G34" s="3"/>
      <c r="H34" s="3"/>
      <c r="I34" s="3"/>
      <c r="J34" s="3"/>
      <c r="K34" s="3"/>
      <c r="L34" s="3"/>
    </row>
    <row r="35" customFormat="false" ht="21.75" hidden="false" customHeight="true" outlineLevel="0" collapsed="false">
      <c r="A35" s="5" t="s">
        <v>37</v>
      </c>
      <c r="B35" s="5"/>
      <c r="C35" s="5"/>
      <c r="D35" s="5"/>
      <c r="E35" s="5"/>
      <c r="F35" s="5"/>
      <c r="G35" s="5"/>
      <c r="H35" s="5"/>
      <c r="I35" s="3"/>
      <c r="J35" s="3"/>
      <c r="K35" s="3"/>
      <c r="L35" s="3"/>
    </row>
    <row r="36" customFormat="false" ht="18" hidden="false" customHeight="true" outlineLevel="0" collapsed="false">
      <c r="A36" s="25" t="s">
        <v>38</v>
      </c>
      <c r="B36" s="26" t="s">
        <v>39</v>
      </c>
      <c r="C36" s="26"/>
      <c r="D36" s="26"/>
      <c r="E36" s="26"/>
      <c r="F36" s="26"/>
      <c r="G36" s="26"/>
      <c r="H36" s="26"/>
      <c r="I36" s="3"/>
      <c r="J36" s="3"/>
      <c r="K36" s="3"/>
      <c r="L36" s="3"/>
    </row>
    <row r="37" customFormat="false" ht="25.5" hidden="false" customHeight="true" outlineLevel="0" collapsed="false">
      <c r="A37" s="27" t="n">
        <v>45497</v>
      </c>
      <c r="B37" s="28" t="s">
        <v>40</v>
      </c>
      <c r="C37" s="28"/>
      <c r="D37" s="28"/>
      <c r="E37" s="28"/>
      <c r="F37" s="28"/>
      <c r="G37" s="28"/>
      <c r="H37" s="28"/>
      <c r="I37" s="3"/>
      <c r="J37" s="3"/>
      <c r="K37" s="3"/>
      <c r="L37" s="3"/>
    </row>
    <row r="38" customFormat="false" ht="25.5" hidden="false" customHeight="true" outlineLevel="0" collapsed="false">
      <c r="A38" s="27"/>
      <c r="B38" s="28" t="s">
        <v>41</v>
      </c>
      <c r="C38" s="28"/>
      <c r="D38" s="28"/>
      <c r="E38" s="28"/>
      <c r="F38" s="28"/>
      <c r="G38" s="28"/>
      <c r="H38" s="28"/>
      <c r="I38" s="3"/>
      <c r="J38" s="3"/>
      <c r="K38" s="3"/>
      <c r="L38" s="3"/>
    </row>
    <row r="39" customFormat="false" ht="25.5" hidden="false" customHeight="true" outlineLevel="0" collapsed="false">
      <c r="A39" s="27"/>
      <c r="B39" s="28" t="s">
        <v>42</v>
      </c>
      <c r="C39" s="28"/>
      <c r="D39" s="28"/>
      <c r="E39" s="28"/>
      <c r="F39" s="28"/>
      <c r="G39" s="28"/>
      <c r="H39" s="28"/>
      <c r="I39" s="3"/>
      <c r="J39" s="3"/>
      <c r="K39" s="3"/>
      <c r="L39" s="3"/>
    </row>
    <row r="40" customFormat="false" ht="25.5" hidden="false" customHeight="true" outlineLevel="0" collapsed="false">
      <c r="A40" s="27"/>
      <c r="B40" s="28" t="s">
        <v>43</v>
      </c>
      <c r="C40" s="28"/>
      <c r="D40" s="28"/>
      <c r="E40" s="28"/>
      <c r="F40" s="28"/>
      <c r="G40" s="28"/>
      <c r="H40" s="28"/>
      <c r="I40" s="3"/>
      <c r="J40" s="3"/>
      <c r="K40" s="3"/>
      <c r="L40" s="3"/>
    </row>
    <row r="41" customFormat="false" ht="25.5" hidden="false" customHeight="true" outlineLevel="0" collapsed="false">
      <c r="A41" s="27"/>
      <c r="B41" s="28" t="s">
        <v>44</v>
      </c>
      <c r="C41" s="28"/>
      <c r="D41" s="28"/>
      <c r="E41" s="28"/>
      <c r="F41" s="28"/>
      <c r="G41" s="28"/>
      <c r="H41" s="28"/>
    </row>
    <row r="42" customFormat="false" ht="39.75" hidden="false" customHeight="true" outlineLevel="0" collapsed="false">
      <c r="A42" s="27" t="n">
        <v>46237</v>
      </c>
      <c r="B42" s="29" t="s">
        <v>45</v>
      </c>
      <c r="C42" s="29"/>
      <c r="D42" s="29"/>
      <c r="E42" s="29"/>
      <c r="F42" s="29"/>
      <c r="G42" s="29"/>
      <c r="H42" s="29"/>
    </row>
    <row r="44" customFormat="false" ht="18" hidden="false" customHeight="true" outlineLevel="0" collapsed="false">
      <c r="A44" s="30"/>
    </row>
    <row r="45" customFormat="false" ht="45" hidden="false" customHeight="true" outlineLevel="0" collapsed="false">
      <c r="A45" s="31"/>
      <c r="B45" s="32"/>
    </row>
  </sheetData>
  <mergeCells count="46">
    <mergeCell ref="A1:H1"/>
    <mergeCell ref="A2:H2"/>
    <mergeCell ref="A4:H4"/>
    <mergeCell ref="B5:H5"/>
    <mergeCell ref="B6:H6"/>
    <mergeCell ref="B7:H7"/>
    <mergeCell ref="B8:H8"/>
    <mergeCell ref="A9:H9"/>
    <mergeCell ref="A11:H11"/>
    <mergeCell ref="B12:H12"/>
    <mergeCell ref="B13:H13"/>
    <mergeCell ref="A14:H14"/>
    <mergeCell ref="A16:H16"/>
    <mergeCell ref="B17:D17"/>
    <mergeCell ref="F17:H17"/>
    <mergeCell ref="A19:H19"/>
    <mergeCell ref="B20:C20"/>
    <mergeCell ref="D20:H20"/>
    <mergeCell ref="B21:C21"/>
    <mergeCell ref="D21:H21"/>
    <mergeCell ref="B22:C22"/>
    <mergeCell ref="D22:H22"/>
    <mergeCell ref="B23:C23"/>
    <mergeCell ref="D23:H23"/>
    <mergeCell ref="A25:H25"/>
    <mergeCell ref="A26:E26"/>
    <mergeCell ref="F26:H26"/>
    <mergeCell ref="A27:D27"/>
    <mergeCell ref="E27:H27"/>
    <mergeCell ref="A29:E29"/>
    <mergeCell ref="F29:H29"/>
    <mergeCell ref="A30:D30"/>
    <mergeCell ref="E30:H30"/>
    <mergeCell ref="A32:E32"/>
    <mergeCell ref="F32:H32"/>
    <mergeCell ref="A33:D33"/>
    <mergeCell ref="E33:H33"/>
    <mergeCell ref="A35:H35"/>
    <mergeCell ref="B36:H36"/>
    <mergeCell ref="A37:A41"/>
    <mergeCell ref="B37:H37"/>
    <mergeCell ref="B38:H38"/>
    <mergeCell ref="B39:H39"/>
    <mergeCell ref="B40:H40"/>
    <mergeCell ref="B41:H41"/>
    <mergeCell ref="B42:H42"/>
  </mergeCells>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8"/>
  <sheetViews>
    <sheetView showFormulas="false" showGridLines="false" showRowColHeaders="true" showZeros="true" rightToLeft="false" tabSelected="false" showOutlineSymbols="true" defaultGridColor="true" view="normal" topLeftCell="AA1" colorId="64" zoomScale="100" zoomScaleNormal="100" zoomScalePageLayoutView="100" workbookViewId="0">
      <pane xSplit="0" ySplit="9" topLeftCell="A10" activePane="bottomLeft" state="frozen"/>
      <selection pane="topLeft" activeCell="AA1" activeCellId="0" sqref="AA1"/>
      <selection pane="bottomLeft" activeCell="D28" activeCellId="0" sqref="D28"/>
    </sheetView>
  </sheetViews>
  <sheetFormatPr defaultColWidth="9.1640625" defaultRowHeight="13.5" customHeight="false" zeroHeight="false" outlineLevelRow="0" outlineLevelCol="0"/>
  <cols>
    <col collapsed="false" customWidth="true" hidden="false" outlineLevel="0" max="1" min="1" style="33" width="14.52"/>
    <col collapsed="false" customWidth="true" hidden="false" outlineLevel="0" max="2" min="2" style="33" width="10.83"/>
    <col collapsed="false" customWidth="true" hidden="false" outlineLevel="0" max="3" min="3" style="33" width="11.67"/>
    <col collapsed="false" customWidth="true" hidden="false" outlineLevel="0" max="4" min="4" style="34" width="23.5"/>
    <col collapsed="false" customWidth="true" hidden="false" outlineLevel="0" max="5" min="5" style="33" width="12.5"/>
    <col collapsed="false" customWidth="true" hidden="false" outlineLevel="0" max="6" min="6" style="33" width="13.83"/>
    <col collapsed="false" customWidth="true" hidden="false" outlineLevel="0" max="7" min="7" style="33" width="13.5"/>
    <col collapsed="false" customWidth="true" hidden="false" outlineLevel="0" max="8" min="8" style="33" width="17.5"/>
    <col collapsed="false" customWidth="true" hidden="false" outlineLevel="0" max="9" min="9" style="35" width="13.34"/>
    <col collapsed="false" customWidth="true" hidden="false" outlineLevel="0" max="10" min="10" style="33" width="17.5"/>
    <col collapsed="false" customWidth="true" hidden="false" outlineLevel="0" max="11" min="11" style="33" width="12.16"/>
    <col collapsed="false" customWidth="true" hidden="false" outlineLevel="0" max="12" min="12" style="33" width="20"/>
    <col collapsed="false" customWidth="true" hidden="false" outlineLevel="0" max="13" min="13" style="33" width="3"/>
    <col collapsed="false" customWidth="true" hidden="false" outlineLevel="0" max="16" min="14" style="33" width="34"/>
    <col collapsed="false" customWidth="false" hidden="false" outlineLevel="0" max="16384" min="17" style="33" width="9.16"/>
  </cols>
  <sheetData>
    <row r="1" customFormat="false" ht="19.5" hidden="false" customHeight="true" outlineLevel="0" collapsed="false">
      <c r="A1" s="36" t="s">
        <v>46</v>
      </c>
      <c r="B1" s="36"/>
      <c r="D1" s="37"/>
      <c r="N1" s="38" t="s">
        <v>47</v>
      </c>
      <c r="O1" s="38"/>
      <c r="P1" s="38"/>
    </row>
    <row r="2" customFormat="false" ht="25.5" hidden="false" customHeight="true" outlineLevel="0" collapsed="false">
      <c r="A2" s="39" t="s">
        <v>48</v>
      </c>
      <c r="B2" s="40"/>
      <c r="D2" s="41" t="s">
        <v>49</v>
      </c>
      <c r="E2" s="42" t="str">
        <f aca="false">IF(COUNTA(B2:B6)&lt;5,"",IF(ISBLANK(B2)=TRUE(),"",IF(B6="Female",45.5+(2.3*(B2-60)),50+(2.3*(B2-60)))))</f>
        <v/>
      </c>
      <c r="F2" s="43" t="s">
        <v>50</v>
      </c>
      <c r="G2" s="44" t="s">
        <v>51</v>
      </c>
      <c r="N2" s="45" t="s">
        <v>52</v>
      </c>
      <c r="O2" s="45"/>
      <c r="P2" s="45"/>
    </row>
    <row r="3" customFormat="false" ht="84" hidden="false" customHeight="true" outlineLevel="0" collapsed="false">
      <c r="A3" s="39" t="s">
        <v>53</v>
      </c>
      <c r="B3" s="40"/>
      <c r="C3" s="46"/>
      <c r="D3" s="41" t="s">
        <v>54</v>
      </c>
      <c r="E3" s="42" t="str">
        <f aca="false">IF(COUNTA(B2:B6)&lt;5,"",B3/E2)</f>
        <v/>
      </c>
      <c r="F3" s="43"/>
      <c r="G3" s="44" t="s">
        <v>55</v>
      </c>
    </row>
    <row r="4" customFormat="false" ht="15.75" hidden="false" customHeight="true" outlineLevel="0" collapsed="false">
      <c r="A4" s="39" t="s">
        <v>56</v>
      </c>
      <c r="B4" s="40"/>
      <c r="D4" s="41" t="s">
        <v>57</v>
      </c>
      <c r="E4" s="42" t="str">
        <f aca="false">IF(COUNTA(B2:B6)&lt;5,"",IF(E2="","",E2+(0.4*(B3-E2))))</f>
        <v/>
      </c>
      <c r="F4" s="43" t="s">
        <v>50</v>
      </c>
      <c r="N4" s="47" t="s">
        <v>58</v>
      </c>
      <c r="O4" s="47" t="s">
        <v>59</v>
      </c>
      <c r="P4" s="47" t="s">
        <v>60</v>
      </c>
    </row>
    <row r="5" customFormat="false" ht="57.75" hidden="false" customHeight="true" outlineLevel="0" collapsed="false">
      <c r="A5" s="39" t="s">
        <v>61</v>
      </c>
      <c r="B5" s="40"/>
      <c r="C5" s="46"/>
      <c r="D5" s="41" t="s">
        <v>62</v>
      </c>
      <c r="E5" s="42" t="str">
        <f aca="false">IF(COUNTA(B2:B6)&lt;5,"",IF(ISBLANK(B5)=TRUE(),"",IF(B5&lt;=1,IF(B6="Female",((140-B4)*E2*0.85/72),((140-B4)*E2/72)),IF(B6="Female",((140-B4)*E2*0.85/72/B5),((140-B4)*E2/72/B5)))))</f>
        <v/>
      </c>
      <c r="F5" s="43" t="s">
        <v>63</v>
      </c>
      <c r="N5" s="48" t="s">
        <v>64</v>
      </c>
      <c r="O5" s="49" t="s">
        <v>65</v>
      </c>
      <c r="P5" s="49" t="s">
        <v>66</v>
      </c>
    </row>
    <row r="6" customFormat="false" ht="73.5" hidden="false" customHeight="true" outlineLevel="0" collapsed="false">
      <c r="A6" s="39" t="s">
        <v>67</v>
      </c>
      <c r="B6" s="40"/>
      <c r="D6" s="41" t="s">
        <v>68</v>
      </c>
      <c r="E6" s="42" t="str">
        <f aca="false">IF(COUNTA(B2:B6)&lt;5,"",IF(ISBLANK(B5)=TRUE(),"",IF(B5&lt;=1,IF(B6="Female",((140-B4)*E4*0.85/72),((140-B4)*E4/72)),IF(B6="Female",((140-B4)*E4*0.85/72/B5),((140-B4)*E4/72/B5)))))</f>
        <v/>
      </c>
      <c r="F6" s="43" t="s">
        <v>63</v>
      </c>
      <c r="N6" s="48" t="s">
        <v>69</v>
      </c>
      <c r="O6" s="49" t="s">
        <v>70</v>
      </c>
      <c r="P6" s="49" t="s">
        <v>66</v>
      </c>
    </row>
    <row r="7" customFormat="false" ht="57.75" hidden="false" customHeight="true" outlineLevel="0" collapsed="false">
      <c r="D7" s="37"/>
      <c r="N7" s="48" t="s">
        <v>71</v>
      </c>
      <c r="O7" s="49" t="s">
        <v>72</v>
      </c>
      <c r="P7" s="49" t="s">
        <v>66</v>
      </c>
    </row>
    <row r="8" customFormat="false" ht="42" hidden="false" customHeight="true" outlineLevel="0" collapsed="false">
      <c r="D8" s="37"/>
      <c r="N8" s="48" t="s">
        <v>73</v>
      </c>
      <c r="O8" s="49" t="s">
        <v>74</v>
      </c>
      <c r="P8" s="49" t="s">
        <v>75</v>
      </c>
    </row>
    <row r="9" customFormat="false" ht="73.5" hidden="false" customHeight="true" outlineLevel="0" collapsed="false">
      <c r="A9" s="50" t="s">
        <v>76</v>
      </c>
      <c r="B9" s="50" t="s">
        <v>77</v>
      </c>
      <c r="C9" s="50" t="s">
        <v>78</v>
      </c>
      <c r="D9" s="51" t="s">
        <v>79</v>
      </c>
      <c r="E9" s="51" t="s">
        <v>80</v>
      </c>
      <c r="F9" s="51" t="s">
        <v>81</v>
      </c>
      <c r="G9" s="50" t="s">
        <v>82</v>
      </c>
      <c r="H9" s="50" t="s">
        <v>83</v>
      </c>
      <c r="I9" s="50" t="s">
        <v>84</v>
      </c>
      <c r="J9" s="50" t="s">
        <v>85</v>
      </c>
      <c r="K9" s="50" t="s">
        <v>86</v>
      </c>
      <c r="L9" s="50" t="s">
        <v>87</v>
      </c>
      <c r="N9" s="48" t="s">
        <v>88</v>
      </c>
      <c r="O9" s="49" t="s">
        <v>89</v>
      </c>
      <c r="P9" s="49" t="s">
        <v>75</v>
      </c>
    </row>
    <row r="10" customFormat="false" ht="57.75" hidden="false" customHeight="true" outlineLevel="0" collapsed="false">
      <c r="A10" s="52" t="n">
        <v>0</v>
      </c>
      <c r="B10" s="52" t="s">
        <v>90</v>
      </c>
      <c r="C10" s="52" t="s">
        <v>91</v>
      </c>
      <c r="D10" s="53" t="n">
        <v>45904</v>
      </c>
      <c r="E10" s="53" t="n">
        <v>45905</v>
      </c>
      <c r="F10" s="53" t="n">
        <v>45915</v>
      </c>
      <c r="G10" s="52" t="s">
        <v>92</v>
      </c>
      <c r="H10" s="52" t="s">
        <v>93</v>
      </c>
      <c r="I10" s="52" t="n">
        <v>150</v>
      </c>
      <c r="J10" s="52" t="s">
        <v>94</v>
      </c>
      <c r="K10" s="54" t="n">
        <f aca="false">INDEX(References!$B$2:B9,MATCH(Table1[[#This Row],[Lovenox Dose (mg)]],References!$A$2:$A$9))</f>
        <v>150</v>
      </c>
      <c r="L10" s="55" t="s">
        <v>95</v>
      </c>
      <c r="N10" s="48" t="s">
        <v>96</v>
      </c>
      <c r="O10" s="49" t="s">
        <v>97</v>
      </c>
      <c r="P10" s="49" t="s">
        <v>75</v>
      </c>
    </row>
    <row r="11" customFormat="false" ht="73.5" hidden="false" customHeight="true" outlineLevel="0" collapsed="false">
      <c r="E11" s="46"/>
      <c r="F11" s="46"/>
      <c r="I11" s="56"/>
      <c r="N11" s="48" t="s">
        <v>98</v>
      </c>
      <c r="O11" s="49" t="s">
        <v>99</v>
      </c>
      <c r="P11" s="49" t="s">
        <v>100</v>
      </c>
    </row>
    <row r="12" customFormat="false" ht="57.75" hidden="false" customHeight="true" outlineLevel="0" collapsed="false">
      <c r="E12" s="46"/>
      <c r="F12" s="46"/>
      <c r="I12" s="56"/>
      <c r="N12" s="48" t="s">
        <v>101</v>
      </c>
      <c r="O12" s="49" t="s">
        <v>102</v>
      </c>
      <c r="P12" s="49" t="s">
        <v>103</v>
      </c>
    </row>
    <row r="13" customFormat="false" ht="25.5" hidden="false" customHeight="true" outlineLevel="0" collapsed="false">
      <c r="E13" s="46"/>
      <c r="F13" s="46"/>
      <c r="I13" s="56"/>
      <c r="N13" s="45" t="s">
        <v>104</v>
      </c>
      <c r="O13" s="45"/>
      <c r="P13" s="45"/>
    </row>
    <row r="14" customFormat="false" ht="15.75" hidden="false" customHeight="true" outlineLevel="0" collapsed="false">
      <c r="E14" s="46"/>
      <c r="F14" s="46"/>
      <c r="I14" s="56"/>
      <c r="N14" s="57" t="s">
        <v>105</v>
      </c>
      <c r="O14" s="57"/>
      <c r="P14" s="57"/>
    </row>
    <row r="15" customFormat="false" ht="13.5" hidden="false" customHeight="true" outlineLevel="0" collapsed="false">
      <c r="E15" s="46"/>
      <c r="F15" s="46"/>
      <c r="I15" s="56"/>
    </row>
    <row r="16" customFormat="false" ht="13.5" hidden="false" customHeight="true" outlineLevel="0" collapsed="false">
      <c r="E16" s="46"/>
      <c r="F16" s="46"/>
      <c r="I16" s="56"/>
    </row>
    <row r="17" customFormat="false" ht="13.5" hidden="false" customHeight="true" outlineLevel="0" collapsed="false">
      <c r="E17" s="46"/>
      <c r="F17" s="46"/>
      <c r="I17" s="56"/>
    </row>
    <row r="18" customFormat="false" ht="13.5" hidden="false" customHeight="true" outlineLevel="0" collapsed="false">
      <c r="E18" s="46"/>
      <c r="F18" s="46"/>
      <c r="I18" s="56"/>
    </row>
  </sheetData>
  <sheetProtection sheet="true"/>
  <mergeCells count="5">
    <mergeCell ref="A1:B1"/>
    <mergeCell ref="N1:P1"/>
    <mergeCell ref="N2:P2"/>
    <mergeCell ref="N13:P13"/>
    <mergeCell ref="N14:P14"/>
  </mergeCells>
  <dataValidations count="5">
    <dataValidation allowBlank="true" errorStyle="stop" operator="equal" showDropDown="false" showErrorMessage="true" showInputMessage="true" sqref="K10 JG10 TC10 ACY10 AMU10 AWQ10 BGM10 BQI10 CAE10 CKA10 CTW10 DDS10 DNO10 DXK10 EHG10 ERC10 FAY10 FKU10 FUQ10 GEM10 GOI10 GYE10 HIA10 HRW10 IBS10 ILO10 IVK10 JFG10 JPC10 JYY10 KIU10 KSQ10 LCM10 LMI10 LWE10 MGA10 MPW10 MZS10 NJO10 NTK10 ODG10 ONC10 OWY10 PGU10 PQQ10 QAM10 QKI10 QUE10 REA10 RNW10 RXS10 SHO10 SRK10 TBG10 TLC10 TUY10 UEU10 UOQ10 UYM10 VII10 VSE10 WCA10 WLW10 WVS10" type="list">
      <formula1>"30,40,60,80,100,120,150,300"</formula1>
      <formula2>0</formula2>
    </dataValidation>
    <dataValidation allowBlank="true" errorStyle="stop" operator="equal" showDropDown="false" showErrorMessage="true" showInputMessage="true" sqref="K9 JG9 TC9 ACY9 AMU9 AWQ9 BGM9 BQI9 CAE9 CKA9 CTW9 DDS9 DNO9 DXK9 EHG9 ERC9 FAY9 FKU9 FUQ9 GEM9 GOI9 GYE9 HIA9 HRW9 IBS9 ILO9 IVK9 JFG9 JPC9 JYY9 KIU9 KSQ9 LCM9 LMI9 LWE9 MGA9 MPW9 MZS9 NJO9 NTK9 ODG9 ONC9 OWY9 PGU9 PQQ9 QAM9 QKI9 QUE9 REA9 RNW9 RXS9 SHO9 SRK9 TBG9 TLC9 TUY9 UEU9 UOQ9 UYM9 VII9 VSE9 WCA9 WLW9 WVS9" type="none">
      <formula1>0</formula1>
      <formula2>0</formula2>
    </dataValidation>
    <dataValidation allowBlank="true" errorStyle="stop" operator="between" showDropDown="false" showErrorMessage="true" showInputMessage="true" sqref="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type="list">
      <formula1>"Female,Male"</formula1>
      <formula2>0</formula2>
    </dataValidation>
    <dataValidation allowBlank="true" errorStyle="stop" operator="between" showDropDown="false" showErrorMessage="true" showInputMessage="true" sqref="J10 JF10 TB10 ACX10 AMT10 AWP10 BGL10 BQH10 CAD10 CJZ10 CTV10 DDR10 DNN10 DXJ10 EHF10 ERB10 FAX10 FKT10 FUP10 GEL10 GOH10 GYD10 HHZ10 HRV10 IBR10 ILN10 IVJ10 JFF10 JPB10 JYX10 KIT10 KSP10 LCL10 LMH10 LWD10 MFZ10 MPV10 MZR10 NJN10 NTJ10 ODF10 ONB10 OWX10 PGT10 PQP10 QAL10 QKH10 QUD10 RDZ10 RNV10 RXR10 SHN10 SRJ10 TBF10 TLB10 TUX10 UET10 UOP10 UYL10 VIH10 VSD10 WBZ10 WLV10 WVR10" type="list">
      <formula1>"Once,Twice"</formula1>
      <formula2>0</formula2>
    </dataValidation>
    <dataValidation allowBlank="true" errorStyle="stop" operator="between" showDropDown="false" showErrorMessage="true" showInputMessage="true" sqref="I11:I36 JE11:JE36 TA11:TA36 ACW11:ACW36 AMS11:AMS36 AWO11:AWO36 BGK11:BGK36 BQG11:BQG36 CAC11:CAC36 CJY11:CJY36 CTU11:CTU36 DDQ11:DDQ36 DNM11:DNM36 DXI11:DXI36 EHE11:EHE36 ERA11:ERA36 FAW11:FAW36 FKS11:FKS36 FUO11:FUO36 GEK11:GEK36 GOG11:GOG36 GYC11:GYC36 HHY11:HHY36 HRU11:HRU36 IBQ11:IBQ36 ILM11:ILM36 IVI11:IVI36 JFE11:JFE36 JPA11:JPA36 JYW11:JYW36 KIS11:KIS36 KSO11:KSO36 LCK11:LCK36 LMG11:LMG36 LWC11:LWC36 MFY11:MFY36 MPU11:MPU36 MZQ11:MZQ36 NJM11:NJM36 NTI11:NTI36 ODE11:ODE36 ONA11:ONA36 OWW11:OWW36 PGS11:PGS36 PQO11:PQO36 QAK11:QAK36 QKG11:QKG36 QUC11:QUC36 RDY11:RDY36 RNU11:RNU36 RXQ11:RXQ36 SHM11:SHM36 SRI11:SRI36 TBE11:TBE36 TLA11:TLA36 TUW11:TUW36 UES11:UES36 UOO11:UOO36 UYK11:UYK36 VIG11:VIG36 VSC11:VSC36 WBY11:WBY36 WLU11:WLU36 WVQ11:WVQ36" type="list">
      <formula1>dosinginterval</formula1>
      <formula2>0</formula2>
    </dataValidation>
  </dataValidations>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I16" activeCellId="0" sqref="I16"/>
    </sheetView>
  </sheetViews>
  <sheetFormatPr defaultColWidth="9.1640625" defaultRowHeight="15.75" customHeight="false" zeroHeight="false" outlineLevelRow="0" outlineLevelCol="0"/>
  <cols>
    <col collapsed="false" customWidth="true" hidden="false" outlineLevel="0" max="1" min="1" style="58" width="19"/>
    <col collapsed="false" customWidth="true" hidden="false" outlineLevel="0" max="2" min="2" style="58" width="17.5"/>
    <col collapsed="false" customWidth="true" hidden="false" outlineLevel="0" max="4" min="3" style="58" width="16.67"/>
    <col collapsed="false" customWidth="true" hidden="false" outlineLevel="0" max="5" min="5" style="58" width="19.16"/>
    <col collapsed="false" customWidth="true" hidden="false" outlineLevel="0" max="6" min="6" style="58" width="22.33"/>
    <col collapsed="false" customWidth="false" hidden="false" outlineLevel="0" max="7" min="7" style="58" width="9.16"/>
    <col collapsed="false" customWidth="true" hidden="false" outlineLevel="0" max="8" min="8" style="58" width="7.83"/>
    <col collapsed="false" customWidth="true" hidden="false" outlineLevel="0" max="9" min="9" style="58" width="27.5"/>
    <col collapsed="false" customWidth="true" hidden="false" outlineLevel="0" max="10" min="10" style="58" width="11.5"/>
    <col collapsed="false" customWidth="true" hidden="false" outlineLevel="0" max="11" min="11" style="58" width="12.83"/>
    <col collapsed="false" customWidth="false" hidden="false" outlineLevel="0" max="257" min="12" style="58" width="9.16"/>
    <col collapsed="false" customWidth="true" hidden="false" outlineLevel="0" max="258" min="258" style="58" width="15.51"/>
    <col collapsed="false" customWidth="true" hidden="false" outlineLevel="0" max="260" min="259" style="58" width="16.67"/>
    <col collapsed="false" customWidth="true" hidden="false" outlineLevel="0" max="261" min="261" style="58" width="19.16"/>
    <col collapsed="false" customWidth="true" hidden="false" outlineLevel="0" max="262" min="262" style="58" width="22.33"/>
    <col collapsed="false" customWidth="false" hidden="false" outlineLevel="0" max="263" min="263" style="58" width="9.16"/>
    <col collapsed="false" customWidth="true" hidden="false" outlineLevel="0" max="264" min="264" style="58" width="7.83"/>
    <col collapsed="false" customWidth="true" hidden="true" outlineLevel="0" max="268" min="265" style="58" width="13"/>
    <col collapsed="false" customWidth="false" hidden="false" outlineLevel="0" max="513" min="269" style="58" width="9.16"/>
    <col collapsed="false" customWidth="true" hidden="false" outlineLevel="0" max="514" min="514" style="58" width="15.51"/>
    <col collapsed="false" customWidth="true" hidden="false" outlineLevel="0" max="516" min="515" style="58" width="16.67"/>
    <col collapsed="false" customWidth="true" hidden="false" outlineLevel="0" max="517" min="517" style="58" width="19.16"/>
    <col collapsed="false" customWidth="true" hidden="false" outlineLevel="0" max="518" min="518" style="58" width="22.33"/>
    <col collapsed="false" customWidth="false" hidden="false" outlineLevel="0" max="519" min="519" style="58" width="9.16"/>
    <col collapsed="false" customWidth="true" hidden="false" outlineLevel="0" max="520" min="520" style="58" width="7.83"/>
    <col collapsed="false" customWidth="true" hidden="true" outlineLevel="0" max="524" min="521" style="58" width="13"/>
    <col collapsed="false" customWidth="false" hidden="false" outlineLevel="0" max="769" min="525" style="58" width="9.16"/>
    <col collapsed="false" customWidth="true" hidden="false" outlineLevel="0" max="770" min="770" style="58" width="15.51"/>
    <col collapsed="false" customWidth="true" hidden="false" outlineLevel="0" max="772" min="771" style="58" width="16.67"/>
    <col collapsed="false" customWidth="true" hidden="false" outlineLevel="0" max="773" min="773" style="58" width="19.16"/>
    <col collapsed="false" customWidth="true" hidden="false" outlineLevel="0" max="774" min="774" style="58" width="22.33"/>
    <col collapsed="false" customWidth="false" hidden="false" outlineLevel="0" max="775" min="775" style="58" width="9.16"/>
    <col collapsed="false" customWidth="true" hidden="false" outlineLevel="0" max="776" min="776" style="58" width="7.83"/>
    <col collapsed="false" customWidth="true" hidden="true" outlineLevel="0" max="780" min="777" style="58" width="13"/>
    <col collapsed="false" customWidth="false" hidden="false" outlineLevel="0" max="1025" min="781" style="58" width="9.16"/>
    <col collapsed="false" customWidth="true" hidden="false" outlineLevel="0" max="1026" min="1026" style="58" width="15.51"/>
    <col collapsed="false" customWidth="true" hidden="false" outlineLevel="0" max="1028" min="1027" style="58" width="16.67"/>
    <col collapsed="false" customWidth="true" hidden="false" outlineLevel="0" max="1029" min="1029" style="58" width="19.16"/>
    <col collapsed="false" customWidth="true" hidden="false" outlineLevel="0" max="1030" min="1030" style="58" width="22.33"/>
    <col collapsed="false" customWidth="false" hidden="false" outlineLevel="0" max="1031" min="1031" style="58" width="9.16"/>
    <col collapsed="false" customWidth="true" hidden="false" outlineLevel="0" max="1032" min="1032" style="58" width="7.83"/>
    <col collapsed="false" customWidth="true" hidden="true" outlineLevel="0" max="1036" min="1033" style="58" width="13"/>
    <col collapsed="false" customWidth="false" hidden="false" outlineLevel="0" max="1281" min="1037" style="58" width="9.16"/>
    <col collapsed="false" customWidth="true" hidden="false" outlineLevel="0" max="1282" min="1282" style="58" width="15.51"/>
    <col collapsed="false" customWidth="true" hidden="false" outlineLevel="0" max="1284" min="1283" style="58" width="16.67"/>
    <col collapsed="false" customWidth="true" hidden="false" outlineLevel="0" max="1285" min="1285" style="58" width="19.16"/>
    <col collapsed="false" customWidth="true" hidden="false" outlineLevel="0" max="1286" min="1286" style="58" width="22.33"/>
    <col collapsed="false" customWidth="false" hidden="false" outlineLevel="0" max="1287" min="1287" style="58" width="9.16"/>
    <col collapsed="false" customWidth="true" hidden="false" outlineLevel="0" max="1288" min="1288" style="58" width="7.83"/>
    <col collapsed="false" customWidth="true" hidden="true" outlineLevel="0" max="1292" min="1289" style="58" width="13"/>
    <col collapsed="false" customWidth="false" hidden="false" outlineLevel="0" max="1537" min="1293" style="58" width="9.16"/>
    <col collapsed="false" customWidth="true" hidden="false" outlineLevel="0" max="1538" min="1538" style="58" width="15.51"/>
    <col collapsed="false" customWidth="true" hidden="false" outlineLevel="0" max="1540" min="1539" style="58" width="16.67"/>
    <col collapsed="false" customWidth="true" hidden="false" outlineLevel="0" max="1541" min="1541" style="58" width="19.16"/>
    <col collapsed="false" customWidth="true" hidden="false" outlineLevel="0" max="1542" min="1542" style="58" width="22.33"/>
    <col collapsed="false" customWidth="false" hidden="false" outlineLevel="0" max="1543" min="1543" style="58" width="9.16"/>
    <col collapsed="false" customWidth="true" hidden="false" outlineLevel="0" max="1544" min="1544" style="58" width="7.83"/>
    <col collapsed="false" customWidth="true" hidden="true" outlineLevel="0" max="1548" min="1545" style="58" width="13"/>
    <col collapsed="false" customWidth="false" hidden="false" outlineLevel="0" max="1793" min="1549" style="58" width="9.16"/>
    <col collapsed="false" customWidth="true" hidden="false" outlineLevel="0" max="1794" min="1794" style="58" width="15.51"/>
    <col collapsed="false" customWidth="true" hidden="false" outlineLevel="0" max="1796" min="1795" style="58" width="16.67"/>
    <col collapsed="false" customWidth="true" hidden="false" outlineLevel="0" max="1797" min="1797" style="58" width="19.16"/>
    <col collapsed="false" customWidth="true" hidden="false" outlineLevel="0" max="1798" min="1798" style="58" width="22.33"/>
    <col collapsed="false" customWidth="false" hidden="false" outlineLevel="0" max="1799" min="1799" style="58" width="9.16"/>
    <col collapsed="false" customWidth="true" hidden="false" outlineLevel="0" max="1800" min="1800" style="58" width="7.83"/>
    <col collapsed="false" customWidth="true" hidden="true" outlineLevel="0" max="1804" min="1801" style="58" width="13"/>
    <col collapsed="false" customWidth="false" hidden="false" outlineLevel="0" max="2049" min="1805" style="58" width="9.16"/>
    <col collapsed="false" customWidth="true" hidden="false" outlineLevel="0" max="2050" min="2050" style="58" width="15.51"/>
    <col collapsed="false" customWidth="true" hidden="false" outlineLevel="0" max="2052" min="2051" style="58" width="16.67"/>
    <col collapsed="false" customWidth="true" hidden="false" outlineLevel="0" max="2053" min="2053" style="58" width="19.16"/>
    <col collapsed="false" customWidth="true" hidden="false" outlineLevel="0" max="2054" min="2054" style="58" width="22.33"/>
    <col collapsed="false" customWidth="false" hidden="false" outlineLevel="0" max="2055" min="2055" style="58" width="9.16"/>
    <col collapsed="false" customWidth="true" hidden="false" outlineLevel="0" max="2056" min="2056" style="58" width="7.83"/>
    <col collapsed="false" customWidth="true" hidden="true" outlineLevel="0" max="2060" min="2057" style="58" width="13"/>
    <col collapsed="false" customWidth="false" hidden="false" outlineLevel="0" max="2305" min="2061" style="58" width="9.16"/>
    <col collapsed="false" customWidth="true" hidden="false" outlineLevel="0" max="2306" min="2306" style="58" width="15.51"/>
    <col collapsed="false" customWidth="true" hidden="false" outlineLevel="0" max="2308" min="2307" style="58" width="16.67"/>
    <col collapsed="false" customWidth="true" hidden="false" outlineLevel="0" max="2309" min="2309" style="58" width="19.16"/>
    <col collapsed="false" customWidth="true" hidden="false" outlineLevel="0" max="2310" min="2310" style="58" width="22.33"/>
    <col collapsed="false" customWidth="false" hidden="false" outlineLevel="0" max="2311" min="2311" style="58" width="9.16"/>
    <col collapsed="false" customWidth="true" hidden="false" outlineLevel="0" max="2312" min="2312" style="58" width="7.83"/>
    <col collapsed="false" customWidth="true" hidden="true" outlineLevel="0" max="2316" min="2313" style="58" width="13"/>
    <col collapsed="false" customWidth="false" hidden="false" outlineLevel="0" max="2561" min="2317" style="58" width="9.16"/>
    <col collapsed="false" customWidth="true" hidden="false" outlineLevel="0" max="2562" min="2562" style="58" width="15.51"/>
    <col collapsed="false" customWidth="true" hidden="false" outlineLevel="0" max="2564" min="2563" style="58" width="16.67"/>
    <col collapsed="false" customWidth="true" hidden="false" outlineLevel="0" max="2565" min="2565" style="58" width="19.16"/>
    <col collapsed="false" customWidth="true" hidden="false" outlineLevel="0" max="2566" min="2566" style="58" width="22.33"/>
    <col collapsed="false" customWidth="false" hidden="false" outlineLevel="0" max="2567" min="2567" style="58" width="9.16"/>
    <col collapsed="false" customWidth="true" hidden="false" outlineLevel="0" max="2568" min="2568" style="58" width="7.83"/>
    <col collapsed="false" customWidth="true" hidden="true" outlineLevel="0" max="2572" min="2569" style="58" width="13"/>
    <col collapsed="false" customWidth="false" hidden="false" outlineLevel="0" max="2817" min="2573" style="58" width="9.16"/>
    <col collapsed="false" customWidth="true" hidden="false" outlineLevel="0" max="2818" min="2818" style="58" width="15.51"/>
    <col collapsed="false" customWidth="true" hidden="false" outlineLevel="0" max="2820" min="2819" style="58" width="16.67"/>
    <col collapsed="false" customWidth="true" hidden="false" outlineLevel="0" max="2821" min="2821" style="58" width="19.16"/>
    <col collapsed="false" customWidth="true" hidden="false" outlineLevel="0" max="2822" min="2822" style="58" width="22.33"/>
    <col collapsed="false" customWidth="false" hidden="false" outlineLevel="0" max="2823" min="2823" style="58" width="9.16"/>
    <col collapsed="false" customWidth="true" hidden="false" outlineLevel="0" max="2824" min="2824" style="58" width="7.83"/>
    <col collapsed="false" customWidth="true" hidden="true" outlineLevel="0" max="2828" min="2825" style="58" width="13"/>
    <col collapsed="false" customWidth="false" hidden="false" outlineLevel="0" max="3073" min="2829" style="58" width="9.16"/>
    <col collapsed="false" customWidth="true" hidden="false" outlineLevel="0" max="3074" min="3074" style="58" width="15.51"/>
    <col collapsed="false" customWidth="true" hidden="false" outlineLevel="0" max="3076" min="3075" style="58" width="16.67"/>
    <col collapsed="false" customWidth="true" hidden="false" outlineLevel="0" max="3077" min="3077" style="58" width="19.16"/>
    <col collapsed="false" customWidth="true" hidden="false" outlineLevel="0" max="3078" min="3078" style="58" width="22.33"/>
    <col collapsed="false" customWidth="false" hidden="false" outlineLevel="0" max="3079" min="3079" style="58" width="9.16"/>
    <col collapsed="false" customWidth="true" hidden="false" outlineLevel="0" max="3080" min="3080" style="58" width="7.83"/>
    <col collapsed="false" customWidth="true" hidden="true" outlineLevel="0" max="3084" min="3081" style="58" width="13"/>
    <col collapsed="false" customWidth="false" hidden="false" outlineLevel="0" max="3329" min="3085" style="58" width="9.16"/>
    <col collapsed="false" customWidth="true" hidden="false" outlineLevel="0" max="3330" min="3330" style="58" width="15.51"/>
    <col collapsed="false" customWidth="true" hidden="false" outlineLevel="0" max="3332" min="3331" style="58" width="16.67"/>
    <col collapsed="false" customWidth="true" hidden="false" outlineLevel="0" max="3333" min="3333" style="58" width="19.16"/>
    <col collapsed="false" customWidth="true" hidden="false" outlineLevel="0" max="3334" min="3334" style="58" width="22.33"/>
    <col collapsed="false" customWidth="false" hidden="false" outlineLevel="0" max="3335" min="3335" style="58" width="9.16"/>
    <col collapsed="false" customWidth="true" hidden="false" outlineLevel="0" max="3336" min="3336" style="58" width="7.83"/>
    <col collapsed="false" customWidth="true" hidden="true" outlineLevel="0" max="3340" min="3337" style="58" width="13"/>
    <col collapsed="false" customWidth="false" hidden="false" outlineLevel="0" max="3585" min="3341" style="58" width="9.16"/>
    <col collapsed="false" customWidth="true" hidden="false" outlineLevel="0" max="3586" min="3586" style="58" width="15.51"/>
    <col collapsed="false" customWidth="true" hidden="false" outlineLevel="0" max="3588" min="3587" style="58" width="16.67"/>
    <col collapsed="false" customWidth="true" hidden="false" outlineLevel="0" max="3589" min="3589" style="58" width="19.16"/>
    <col collapsed="false" customWidth="true" hidden="false" outlineLevel="0" max="3590" min="3590" style="58" width="22.33"/>
    <col collapsed="false" customWidth="false" hidden="false" outlineLevel="0" max="3591" min="3591" style="58" width="9.16"/>
    <col collapsed="false" customWidth="true" hidden="false" outlineLevel="0" max="3592" min="3592" style="58" width="7.83"/>
    <col collapsed="false" customWidth="true" hidden="true" outlineLevel="0" max="3596" min="3593" style="58" width="13"/>
    <col collapsed="false" customWidth="false" hidden="false" outlineLevel="0" max="3841" min="3597" style="58" width="9.16"/>
    <col collapsed="false" customWidth="true" hidden="false" outlineLevel="0" max="3842" min="3842" style="58" width="15.51"/>
    <col collapsed="false" customWidth="true" hidden="false" outlineLevel="0" max="3844" min="3843" style="58" width="16.67"/>
    <col collapsed="false" customWidth="true" hidden="false" outlineLevel="0" max="3845" min="3845" style="58" width="19.16"/>
    <col collapsed="false" customWidth="true" hidden="false" outlineLevel="0" max="3846" min="3846" style="58" width="22.33"/>
    <col collapsed="false" customWidth="false" hidden="false" outlineLevel="0" max="3847" min="3847" style="58" width="9.16"/>
    <col collapsed="false" customWidth="true" hidden="false" outlineLevel="0" max="3848" min="3848" style="58" width="7.83"/>
    <col collapsed="false" customWidth="true" hidden="true" outlineLevel="0" max="3852" min="3849" style="58" width="13"/>
    <col collapsed="false" customWidth="false" hidden="false" outlineLevel="0" max="4097" min="3853" style="58" width="9.16"/>
    <col collapsed="false" customWidth="true" hidden="false" outlineLevel="0" max="4098" min="4098" style="58" width="15.51"/>
    <col collapsed="false" customWidth="true" hidden="false" outlineLevel="0" max="4100" min="4099" style="58" width="16.67"/>
    <col collapsed="false" customWidth="true" hidden="false" outlineLevel="0" max="4101" min="4101" style="58" width="19.16"/>
    <col collapsed="false" customWidth="true" hidden="false" outlineLevel="0" max="4102" min="4102" style="58" width="22.33"/>
    <col collapsed="false" customWidth="false" hidden="false" outlineLevel="0" max="4103" min="4103" style="58" width="9.16"/>
    <col collapsed="false" customWidth="true" hidden="false" outlineLevel="0" max="4104" min="4104" style="58" width="7.83"/>
    <col collapsed="false" customWidth="true" hidden="true" outlineLevel="0" max="4108" min="4105" style="58" width="13"/>
    <col collapsed="false" customWidth="false" hidden="false" outlineLevel="0" max="4353" min="4109" style="58" width="9.16"/>
    <col collapsed="false" customWidth="true" hidden="false" outlineLevel="0" max="4354" min="4354" style="58" width="15.51"/>
    <col collapsed="false" customWidth="true" hidden="false" outlineLevel="0" max="4356" min="4355" style="58" width="16.67"/>
    <col collapsed="false" customWidth="true" hidden="false" outlineLevel="0" max="4357" min="4357" style="58" width="19.16"/>
    <col collapsed="false" customWidth="true" hidden="false" outlineLevel="0" max="4358" min="4358" style="58" width="22.33"/>
    <col collapsed="false" customWidth="false" hidden="false" outlineLevel="0" max="4359" min="4359" style="58" width="9.16"/>
    <col collapsed="false" customWidth="true" hidden="false" outlineLevel="0" max="4360" min="4360" style="58" width="7.83"/>
    <col collapsed="false" customWidth="true" hidden="true" outlineLevel="0" max="4364" min="4361" style="58" width="13"/>
    <col collapsed="false" customWidth="false" hidden="false" outlineLevel="0" max="4609" min="4365" style="58" width="9.16"/>
    <col collapsed="false" customWidth="true" hidden="false" outlineLevel="0" max="4610" min="4610" style="58" width="15.51"/>
    <col collapsed="false" customWidth="true" hidden="false" outlineLevel="0" max="4612" min="4611" style="58" width="16.67"/>
    <col collapsed="false" customWidth="true" hidden="false" outlineLevel="0" max="4613" min="4613" style="58" width="19.16"/>
    <col collapsed="false" customWidth="true" hidden="false" outlineLevel="0" max="4614" min="4614" style="58" width="22.33"/>
    <col collapsed="false" customWidth="false" hidden="false" outlineLevel="0" max="4615" min="4615" style="58" width="9.16"/>
    <col collapsed="false" customWidth="true" hidden="false" outlineLevel="0" max="4616" min="4616" style="58" width="7.83"/>
    <col collapsed="false" customWidth="true" hidden="true" outlineLevel="0" max="4620" min="4617" style="58" width="13"/>
    <col collapsed="false" customWidth="false" hidden="false" outlineLevel="0" max="4865" min="4621" style="58" width="9.16"/>
    <col collapsed="false" customWidth="true" hidden="false" outlineLevel="0" max="4866" min="4866" style="58" width="15.51"/>
    <col collapsed="false" customWidth="true" hidden="false" outlineLevel="0" max="4868" min="4867" style="58" width="16.67"/>
    <col collapsed="false" customWidth="true" hidden="false" outlineLevel="0" max="4869" min="4869" style="58" width="19.16"/>
    <col collapsed="false" customWidth="true" hidden="false" outlineLevel="0" max="4870" min="4870" style="58" width="22.33"/>
    <col collapsed="false" customWidth="false" hidden="false" outlineLevel="0" max="4871" min="4871" style="58" width="9.16"/>
    <col collapsed="false" customWidth="true" hidden="false" outlineLevel="0" max="4872" min="4872" style="58" width="7.83"/>
    <col collapsed="false" customWidth="true" hidden="true" outlineLevel="0" max="4876" min="4873" style="58" width="13"/>
    <col collapsed="false" customWidth="false" hidden="false" outlineLevel="0" max="5121" min="4877" style="58" width="9.16"/>
    <col collapsed="false" customWidth="true" hidden="false" outlineLevel="0" max="5122" min="5122" style="58" width="15.51"/>
    <col collapsed="false" customWidth="true" hidden="false" outlineLevel="0" max="5124" min="5123" style="58" width="16.67"/>
    <col collapsed="false" customWidth="true" hidden="false" outlineLevel="0" max="5125" min="5125" style="58" width="19.16"/>
    <col collapsed="false" customWidth="true" hidden="false" outlineLevel="0" max="5126" min="5126" style="58" width="22.33"/>
    <col collapsed="false" customWidth="false" hidden="false" outlineLevel="0" max="5127" min="5127" style="58" width="9.16"/>
    <col collapsed="false" customWidth="true" hidden="false" outlineLevel="0" max="5128" min="5128" style="58" width="7.83"/>
    <col collapsed="false" customWidth="true" hidden="true" outlineLevel="0" max="5132" min="5129" style="58" width="13"/>
    <col collapsed="false" customWidth="false" hidden="false" outlineLevel="0" max="5377" min="5133" style="58" width="9.16"/>
    <col collapsed="false" customWidth="true" hidden="false" outlineLevel="0" max="5378" min="5378" style="58" width="15.51"/>
    <col collapsed="false" customWidth="true" hidden="false" outlineLevel="0" max="5380" min="5379" style="58" width="16.67"/>
    <col collapsed="false" customWidth="true" hidden="false" outlineLevel="0" max="5381" min="5381" style="58" width="19.16"/>
    <col collapsed="false" customWidth="true" hidden="false" outlineLevel="0" max="5382" min="5382" style="58" width="22.33"/>
    <col collapsed="false" customWidth="false" hidden="false" outlineLevel="0" max="5383" min="5383" style="58" width="9.16"/>
    <col collapsed="false" customWidth="true" hidden="false" outlineLevel="0" max="5384" min="5384" style="58" width="7.83"/>
    <col collapsed="false" customWidth="true" hidden="true" outlineLevel="0" max="5388" min="5385" style="58" width="13"/>
    <col collapsed="false" customWidth="false" hidden="false" outlineLevel="0" max="5633" min="5389" style="58" width="9.16"/>
    <col collapsed="false" customWidth="true" hidden="false" outlineLevel="0" max="5634" min="5634" style="58" width="15.51"/>
    <col collapsed="false" customWidth="true" hidden="false" outlineLevel="0" max="5636" min="5635" style="58" width="16.67"/>
    <col collapsed="false" customWidth="true" hidden="false" outlineLevel="0" max="5637" min="5637" style="58" width="19.16"/>
    <col collapsed="false" customWidth="true" hidden="false" outlineLevel="0" max="5638" min="5638" style="58" width="22.33"/>
    <col collapsed="false" customWidth="false" hidden="false" outlineLevel="0" max="5639" min="5639" style="58" width="9.16"/>
    <col collapsed="false" customWidth="true" hidden="false" outlineLevel="0" max="5640" min="5640" style="58" width="7.83"/>
    <col collapsed="false" customWidth="true" hidden="true" outlineLevel="0" max="5644" min="5641" style="58" width="13"/>
    <col collapsed="false" customWidth="false" hidden="false" outlineLevel="0" max="5889" min="5645" style="58" width="9.16"/>
    <col collapsed="false" customWidth="true" hidden="false" outlineLevel="0" max="5890" min="5890" style="58" width="15.51"/>
    <col collapsed="false" customWidth="true" hidden="false" outlineLevel="0" max="5892" min="5891" style="58" width="16.67"/>
    <col collapsed="false" customWidth="true" hidden="false" outlineLevel="0" max="5893" min="5893" style="58" width="19.16"/>
    <col collapsed="false" customWidth="true" hidden="false" outlineLevel="0" max="5894" min="5894" style="58" width="22.33"/>
    <col collapsed="false" customWidth="false" hidden="false" outlineLevel="0" max="5895" min="5895" style="58" width="9.16"/>
    <col collapsed="false" customWidth="true" hidden="false" outlineLevel="0" max="5896" min="5896" style="58" width="7.83"/>
    <col collapsed="false" customWidth="true" hidden="true" outlineLevel="0" max="5900" min="5897" style="58" width="13"/>
    <col collapsed="false" customWidth="false" hidden="false" outlineLevel="0" max="6145" min="5901" style="58" width="9.16"/>
    <col collapsed="false" customWidth="true" hidden="false" outlineLevel="0" max="6146" min="6146" style="58" width="15.51"/>
    <col collapsed="false" customWidth="true" hidden="false" outlineLevel="0" max="6148" min="6147" style="58" width="16.67"/>
    <col collapsed="false" customWidth="true" hidden="false" outlineLevel="0" max="6149" min="6149" style="58" width="19.16"/>
    <col collapsed="false" customWidth="true" hidden="false" outlineLevel="0" max="6150" min="6150" style="58" width="22.33"/>
    <col collapsed="false" customWidth="false" hidden="false" outlineLevel="0" max="6151" min="6151" style="58" width="9.16"/>
    <col collapsed="false" customWidth="true" hidden="false" outlineLevel="0" max="6152" min="6152" style="58" width="7.83"/>
    <col collapsed="false" customWidth="true" hidden="true" outlineLevel="0" max="6156" min="6153" style="58" width="13"/>
    <col collapsed="false" customWidth="false" hidden="false" outlineLevel="0" max="6401" min="6157" style="58" width="9.16"/>
    <col collapsed="false" customWidth="true" hidden="false" outlineLevel="0" max="6402" min="6402" style="58" width="15.51"/>
    <col collapsed="false" customWidth="true" hidden="false" outlineLevel="0" max="6404" min="6403" style="58" width="16.67"/>
    <col collapsed="false" customWidth="true" hidden="false" outlineLevel="0" max="6405" min="6405" style="58" width="19.16"/>
    <col collapsed="false" customWidth="true" hidden="false" outlineLevel="0" max="6406" min="6406" style="58" width="22.33"/>
    <col collapsed="false" customWidth="false" hidden="false" outlineLevel="0" max="6407" min="6407" style="58" width="9.16"/>
    <col collapsed="false" customWidth="true" hidden="false" outlineLevel="0" max="6408" min="6408" style="58" width="7.83"/>
    <col collapsed="false" customWidth="true" hidden="true" outlineLevel="0" max="6412" min="6409" style="58" width="13"/>
    <col collapsed="false" customWidth="false" hidden="false" outlineLevel="0" max="6657" min="6413" style="58" width="9.16"/>
    <col collapsed="false" customWidth="true" hidden="false" outlineLevel="0" max="6658" min="6658" style="58" width="15.51"/>
    <col collapsed="false" customWidth="true" hidden="false" outlineLevel="0" max="6660" min="6659" style="58" width="16.67"/>
    <col collapsed="false" customWidth="true" hidden="false" outlineLevel="0" max="6661" min="6661" style="58" width="19.16"/>
    <col collapsed="false" customWidth="true" hidden="false" outlineLevel="0" max="6662" min="6662" style="58" width="22.33"/>
    <col collapsed="false" customWidth="false" hidden="false" outlineLevel="0" max="6663" min="6663" style="58" width="9.16"/>
    <col collapsed="false" customWidth="true" hidden="false" outlineLevel="0" max="6664" min="6664" style="58" width="7.83"/>
    <col collapsed="false" customWidth="true" hidden="true" outlineLevel="0" max="6668" min="6665" style="58" width="13"/>
    <col collapsed="false" customWidth="false" hidden="false" outlineLevel="0" max="6913" min="6669" style="58" width="9.16"/>
    <col collapsed="false" customWidth="true" hidden="false" outlineLevel="0" max="6914" min="6914" style="58" width="15.51"/>
    <col collapsed="false" customWidth="true" hidden="false" outlineLevel="0" max="6916" min="6915" style="58" width="16.67"/>
    <col collapsed="false" customWidth="true" hidden="false" outlineLevel="0" max="6917" min="6917" style="58" width="19.16"/>
    <col collapsed="false" customWidth="true" hidden="false" outlineLevel="0" max="6918" min="6918" style="58" width="22.33"/>
    <col collapsed="false" customWidth="false" hidden="false" outlineLevel="0" max="6919" min="6919" style="58" width="9.16"/>
    <col collapsed="false" customWidth="true" hidden="false" outlineLevel="0" max="6920" min="6920" style="58" width="7.83"/>
    <col collapsed="false" customWidth="true" hidden="true" outlineLevel="0" max="6924" min="6921" style="58" width="13"/>
    <col collapsed="false" customWidth="false" hidden="false" outlineLevel="0" max="7169" min="6925" style="58" width="9.16"/>
    <col collapsed="false" customWidth="true" hidden="false" outlineLevel="0" max="7170" min="7170" style="58" width="15.51"/>
    <col collapsed="false" customWidth="true" hidden="false" outlineLevel="0" max="7172" min="7171" style="58" width="16.67"/>
    <col collapsed="false" customWidth="true" hidden="false" outlineLevel="0" max="7173" min="7173" style="58" width="19.16"/>
    <col collapsed="false" customWidth="true" hidden="false" outlineLevel="0" max="7174" min="7174" style="58" width="22.33"/>
    <col collapsed="false" customWidth="false" hidden="false" outlineLevel="0" max="7175" min="7175" style="58" width="9.16"/>
    <col collapsed="false" customWidth="true" hidden="false" outlineLevel="0" max="7176" min="7176" style="58" width="7.83"/>
    <col collapsed="false" customWidth="true" hidden="true" outlineLevel="0" max="7180" min="7177" style="58" width="13"/>
    <col collapsed="false" customWidth="false" hidden="false" outlineLevel="0" max="7425" min="7181" style="58" width="9.16"/>
    <col collapsed="false" customWidth="true" hidden="false" outlineLevel="0" max="7426" min="7426" style="58" width="15.51"/>
    <col collapsed="false" customWidth="true" hidden="false" outlineLevel="0" max="7428" min="7427" style="58" width="16.67"/>
    <col collapsed="false" customWidth="true" hidden="false" outlineLevel="0" max="7429" min="7429" style="58" width="19.16"/>
    <col collapsed="false" customWidth="true" hidden="false" outlineLevel="0" max="7430" min="7430" style="58" width="22.33"/>
    <col collapsed="false" customWidth="false" hidden="false" outlineLevel="0" max="7431" min="7431" style="58" width="9.16"/>
    <col collapsed="false" customWidth="true" hidden="false" outlineLevel="0" max="7432" min="7432" style="58" width="7.83"/>
    <col collapsed="false" customWidth="true" hidden="true" outlineLevel="0" max="7436" min="7433" style="58" width="13"/>
    <col collapsed="false" customWidth="false" hidden="false" outlineLevel="0" max="7681" min="7437" style="58" width="9.16"/>
    <col collapsed="false" customWidth="true" hidden="false" outlineLevel="0" max="7682" min="7682" style="58" width="15.51"/>
    <col collapsed="false" customWidth="true" hidden="false" outlineLevel="0" max="7684" min="7683" style="58" width="16.67"/>
    <col collapsed="false" customWidth="true" hidden="false" outlineLevel="0" max="7685" min="7685" style="58" width="19.16"/>
    <col collapsed="false" customWidth="true" hidden="false" outlineLevel="0" max="7686" min="7686" style="58" width="22.33"/>
    <col collapsed="false" customWidth="false" hidden="false" outlineLevel="0" max="7687" min="7687" style="58" width="9.16"/>
    <col collapsed="false" customWidth="true" hidden="false" outlineLevel="0" max="7688" min="7688" style="58" width="7.83"/>
    <col collapsed="false" customWidth="true" hidden="true" outlineLevel="0" max="7692" min="7689" style="58" width="13"/>
    <col collapsed="false" customWidth="false" hidden="false" outlineLevel="0" max="7937" min="7693" style="58" width="9.16"/>
    <col collapsed="false" customWidth="true" hidden="false" outlineLevel="0" max="7938" min="7938" style="58" width="15.51"/>
    <col collapsed="false" customWidth="true" hidden="false" outlineLevel="0" max="7940" min="7939" style="58" width="16.67"/>
    <col collapsed="false" customWidth="true" hidden="false" outlineLevel="0" max="7941" min="7941" style="58" width="19.16"/>
    <col collapsed="false" customWidth="true" hidden="false" outlineLevel="0" max="7942" min="7942" style="58" width="22.33"/>
    <col collapsed="false" customWidth="false" hidden="false" outlineLevel="0" max="7943" min="7943" style="58" width="9.16"/>
    <col collapsed="false" customWidth="true" hidden="false" outlineLevel="0" max="7944" min="7944" style="58" width="7.83"/>
    <col collapsed="false" customWidth="true" hidden="true" outlineLevel="0" max="7948" min="7945" style="58" width="13"/>
    <col collapsed="false" customWidth="false" hidden="false" outlineLevel="0" max="8193" min="7949" style="58" width="9.16"/>
    <col collapsed="false" customWidth="true" hidden="false" outlineLevel="0" max="8194" min="8194" style="58" width="15.51"/>
    <col collapsed="false" customWidth="true" hidden="false" outlineLevel="0" max="8196" min="8195" style="58" width="16.67"/>
    <col collapsed="false" customWidth="true" hidden="false" outlineLevel="0" max="8197" min="8197" style="58" width="19.16"/>
    <col collapsed="false" customWidth="true" hidden="false" outlineLevel="0" max="8198" min="8198" style="58" width="22.33"/>
    <col collapsed="false" customWidth="false" hidden="false" outlineLevel="0" max="8199" min="8199" style="58" width="9.16"/>
    <col collapsed="false" customWidth="true" hidden="false" outlineLevel="0" max="8200" min="8200" style="58" width="7.83"/>
    <col collapsed="false" customWidth="true" hidden="true" outlineLevel="0" max="8204" min="8201" style="58" width="13"/>
    <col collapsed="false" customWidth="false" hidden="false" outlineLevel="0" max="8449" min="8205" style="58" width="9.16"/>
    <col collapsed="false" customWidth="true" hidden="false" outlineLevel="0" max="8450" min="8450" style="58" width="15.51"/>
    <col collapsed="false" customWidth="true" hidden="false" outlineLevel="0" max="8452" min="8451" style="58" width="16.67"/>
    <col collapsed="false" customWidth="true" hidden="false" outlineLevel="0" max="8453" min="8453" style="58" width="19.16"/>
    <col collapsed="false" customWidth="true" hidden="false" outlineLevel="0" max="8454" min="8454" style="58" width="22.33"/>
    <col collapsed="false" customWidth="false" hidden="false" outlineLevel="0" max="8455" min="8455" style="58" width="9.16"/>
    <col collapsed="false" customWidth="true" hidden="false" outlineLevel="0" max="8456" min="8456" style="58" width="7.83"/>
    <col collapsed="false" customWidth="true" hidden="true" outlineLevel="0" max="8460" min="8457" style="58" width="13"/>
    <col collapsed="false" customWidth="false" hidden="false" outlineLevel="0" max="8705" min="8461" style="58" width="9.16"/>
    <col collapsed="false" customWidth="true" hidden="false" outlineLevel="0" max="8706" min="8706" style="58" width="15.51"/>
    <col collapsed="false" customWidth="true" hidden="false" outlineLevel="0" max="8708" min="8707" style="58" width="16.67"/>
    <col collapsed="false" customWidth="true" hidden="false" outlineLevel="0" max="8709" min="8709" style="58" width="19.16"/>
    <col collapsed="false" customWidth="true" hidden="false" outlineLevel="0" max="8710" min="8710" style="58" width="22.33"/>
    <col collapsed="false" customWidth="false" hidden="false" outlineLevel="0" max="8711" min="8711" style="58" width="9.16"/>
    <col collapsed="false" customWidth="true" hidden="false" outlineLevel="0" max="8712" min="8712" style="58" width="7.83"/>
    <col collapsed="false" customWidth="true" hidden="true" outlineLevel="0" max="8716" min="8713" style="58" width="13"/>
    <col collapsed="false" customWidth="false" hidden="false" outlineLevel="0" max="8961" min="8717" style="58" width="9.16"/>
    <col collapsed="false" customWidth="true" hidden="false" outlineLevel="0" max="8962" min="8962" style="58" width="15.51"/>
    <col collapsed="false" customWidth="true" hidden="false" outlineLevel="0" max="8964" min="8963" style="58" width="16.67"/>
    <col collapsed="false" customWidth="true" hidden="false" outlineLevel="0" max="8965" min="8965" style="58" width="19.16"/>
    <col collapsed="false" customWidth="true" hidden="false" outlineLevel="0" max="8966" min="8966" style="58" width="22.33"/>
    <col collapsed="false" customWidth="false" hidden="false" outlineLevel="0" max="8967" min="8967" style="58" width="9.16"/>
    <col collapsed="false" customWidth="true" hidden="false" outlineLevel="0" max="8968" min="8968" style="58" width="7.83"/>
    <col collapsed="false" customWidth="true" hidden="true" outlineLevel="0" max="8972" min="8969" style="58" width="13"/>
    <col collapsed="false" customWidth="false" hidden="false" outlineLevel="0" max="9217" min="8973" style="58" width="9.16"/>
    <col collapsed="false" customWidth="true" hidden="false" outlineLevel="0" max="9218" min="9218" style="58" width="15.51"/>
    <col collapsed="false" customWidth="true" hidden="false" outlineLevel="0" max="9220" min="9219" style="58" width="16.67"/>
    <col collapsed="false" customWidth="true" hidden="false" outlineLevel="0" max="9221" min="9221" style="58" width="19.16"/>
    <col collapsed="false" customWidth="true" hidden="false" outlineLevel="0" max="9222" min="9222" style="58" width="22.33"/>
    <col collapsed="false" customWidth="false" hidden="false" outlineLevel="0" max="9223" min="9223" style="58" width="9.16"/>
    <col collapsed="false" customWidth="true" hidden="false" outlineLevel="0" max="9224" min="9224" style="58" width="7.83"/>
    <col collapsed="false" customWidth="true" hidden="true" outlineLevel="0" max="9228" min="9225" style="58" width="13"/>
    <col collapsed="false" customWidth="false" hidden="false" outlineLevel="0" max="9473" min="9229" style="58" width="9.16"/>
    <col collapsed="false" customWidth="true" hidden="false" outlineLevel="0" max="9474" min="9474" style="58" width="15.51"/>
    <col collapsed="false" customWidth="true" hidden="false" outlineLevel="0" max="9476" min="9475" style="58" width="16.67"/>
    <col collapsed="false" customWidth="true" hidden="false" outlineLevel="0" max="9477" min="9477" style="58" width="19.16"/>
    <col collapsed="false" customWidth="true" hidden="false" outlineLevel="0" max="9478" min="9478" style="58" width="22.33"/>
    <col collapsed="false" customWidth="false" hidden="false" outlineLevel="0" max="9479" min="9479" style="58" width="9.16"/>
    <col collapsed="false" customWidth="true" hidden="false" outlineLevel="0" max="9480" min="9480" style="58" width="7.83"/>
    <col collapsed="false" customWidth="true" hidden="true" outlineLevel="0" max="9484" min="9481" style="58" width="13"/>
    <col collapsed="false" customWidth="false" hidden="false" outlineLevel="0" max="9729" min="9485" style="58" width="9.16"/>
    <col collapsed="false" customWidth="true" hidden="false" outlineLevel="0" max="9730" min="9730" style="58" width="15.51"/>
    <col collapsed="false" customWidth="true" hidden="false" outlineLevel="0" max="9732" min="9731" style="58" width="16.67"/>
    <col collapsed="false" customWidth="true" hidden="false" outlineLevel="0" max="9733" min="9733" style="58" width="19.16"/>
    <col collapsed="false" customWidth="true" hidden="false" outlineLevel="0" max="9734" min="9734" style="58" width="22.33"/>
    <col collapsed="false" customWidth="false" hidden="false" outlineLevel="0" max="9735" min="9735" style="58" width="9.16"/>
    <col collapsed="false" customWidth="true" hidden="false" outlineLevel="0" max="9736" min="9736" style="58" width="7.83"/>
    <col collapsed="false" customWidth="true" hidden="true" outlineLevel="0" max="9740" min="9737" style="58" width="13"/>
    <col collapsed="false" customWidth="false" hidden="false" outlineLevel="0" max="9985" min="9741" style="58" width="9.16"/>
    <col collapsed="false" customWidth="true" hidden="false" outlineLevel="0" max="9986" min="9986" style="58" width="15.51"/>
    <col collapsed="false" customWidth="true" hidden="false" outlineLevel="0" max="9988" min="9987" style="58" width="16.67"/>
    <col collapsed="false" customWidth="true" hidden="false" outlineLevel="0" max="9989" min="9989" style="58" width="19.16"/>
    <col collapsed="false" customWidth="true" hidden="false" outlineLevel="0" max="9990" min="9990" style="58" width="22.33"/>
    <col collapsed="false" customWidth="false" hidden="false" outlineLevel="0" max="9991" min="9991" style="58" width="9.16"/>
    <col collapsed="false" customWidth="true" hidden="false" outlineLevel="0" max="9992" min="9992" style="58" width="7.83"/>
    <col collapsed="false" customWidth="true" hidden="true" outlineLevel="0" max="9996" min="9993" style="58" width="13"/>
    <col collapsed="false" customWidth="false" hidden="false" outlineLevel="0" max="10241" min="9997" style="58" width="9.16"/>
    <col collapsed="false" customWidth="true" hidden="false" outlineLevel="0" max="10242" min="10242" style="58" width="15.51"/>
    <col collapsed="false" customWidth="true" hidden="false" outlineLevel="0" max="10244" min="10243" style="58" width="16.67"/>
    <col collapsed="false" customWidth="true" hidden="false" outlineLevel="0" max="10245" min="10245" style="58" width="19.16"/>
    <col collapsed="false" customWidth="true" hidden="false" outlineLevel="0" max="10246" min="10246" style="58" width="22.33"/>
    <col collapsed="false" customWidth="false" hidden="false" outlineLevel="0" max="10247" min="10247" style="58" width="9.16"/>
    <col collapsed="false" customWidth="true" hidden="false" outlineLevel="0" max="10248" min="10248" style="58" width="7.83"/>
    <col collapsed="false" customWidth="true" hidden="true" outlineLevel="0" max="10252" min="10249" style="58" width="13"/>
    <col collapsed="false" customWidth="false" hidden="false" outlineLevel="0" max="10497" min="10253" style="58" width="9.16"/>
    <col collapsed="false" customWidth="true" hidden="false" outlineLevel="0" max="10498" min="10498" style="58" width="15.51"/>
    <col collapsed="false" customWidth="true" hidden="false" outlineLevel="0" max="10500" min="10499" style="58" width="16.67"/>
    <col collapsed="false" customWidth="true" hidden="false" outlineLevel="0" max="10501" min="10501" style="58" width="19.16"/>
    <col collapsed="false" customWidth="true" hidden="false" outlineLevel="0" max="10502" min="10502" style="58" width="22.33"/>
    <col collapsed="false" customWidth="false" hidden="false" outlineLevel="0" max="10503" min="10503" style="58" width="9.16"/>
    <col collapsed="false" customWidth="true" hidden="false" outlineLevel="0" max="10504" min="10504" style="58" width="7.83"/>
    <col collapsed="false" customWidth="true" hidden="true" outlineLevel="0" max="10508" min="10505" style="58" width="13"/>
    <col collapsed="false" customWidth="false" hidden="false" outlineLevel="0" max="10753" min="10509" style="58" width="9.16"/>
    <col collapsed="false" customWidth="true" hidden="false" outlineLevel="0" max="10754" min="10754" style="58" width="15.51"/>
    <col collapsed="false" customWidth="true" hidden="false" outlineLevel="0" max="10756" min="10755" style="58" width="16.67"/>
    <col collapsed="false" customWidth="true" hidden="false" outlineLevel="0" max="10757" min="10757" style="58" width="19.16"/>
    <col collapsed="false" customWidth="true" hidden="false" outlineLevel="0" max="10758" min="10758" style="58" width="22.33"/>
    <col collapsed="false" customWidth="false" hidden="false" outlineLevel="0" max="10759" min="10759" style="58" width="9.16"/>
    <col collapsed="false" customWidth="true" hidden="false" outlineLevel="0" max="10760" min="10760" style="58" width="7.83"/>
    <col collapsed="false" customWidth="true" hidden="true" outlineLevel="0" max="10764" min="10761" style="58" width="13"/>
    <col collapsed="false" customWidth="false" hidden="false" outlineLevel="0" max="11009" min="10765" style="58" width="9.16"/>
    <col collapsed="false" customWidth="true" hidden="false" outlineLevel="0" max="11010" min="11010" style="58" width="15.51"/>
    <col collapsed="false" customWidth="true" hidden="false" outlineLevel="0" max="11012" min="11011" style="58" width="16.67"/>
    <col collapsed="false" customWidth="true" hidden="false" outlineLevel="0" max="11013" min="11013" style="58" width="19.16"/>
    <col collapsed="false" customWidth="true" hidden="false" outlineLevel="0" max="11014" min="11014" style="58" width="22.33"/>
    <col collapsed="false" customWidth="false" hidden="false" outlineLevel="0" max="11015" min="11015" style="58" width="9.16"/>
    <col collapsed="false" customWidth="true" hidden="false" outlineLevel="0" max="11016" min="11016" style="58" width="7.83"/>
    <col collapsed="false" customWidth="true" hidden="true" outlineLevel="0" max="11020" min="11017" style="58" width="13"/>
    <col collapsed="false" customWidth="false" hidden="false" outlineLevel="0" max="11265" min="11021" style="58" width="9.16"/>
    <col collapsed="false" customWidth="true" hidden="false" outlineLevel="0" max="11266" min="11266" style="58" width="15.51"/>
    <col collapsed="false" customWidth="true" hidden="false" outlineLevel="0" max="11268" min="11267" style="58" width="16.67"/>
    <col collapsed="false" customWidth="true" hidden="false" outlineLevel="0" max="11269" min="11269" style="58" width="19.16"/>
    <col collapsed="false" customWidth="true" hidden="false" outlineLevel="0" max="11270" min="11270" style="58" width="22.33"/>
    <col collapsed="false" customWidth="false" hidden="false" outlineLevel="0" max="11271" min="11271" style="58" width="9.16"/>
    <col collapsed="false" customWidth="true" hidden="false" outlineLevel="0" max="11272" min="11272" style="58" width="7.83"/>
    <col collapsed="false" customWidth="true" hidden="true" outlineLevel="0" max="11276" min="11273" style="58" width="13"/>
    <col collapsed="false" customWidth="false" hidden="false" outlineLevel="0" max="11521" min="11277" style="58" width="9.16"/>
    <col collapsed="false" customWidth="true" hidden="false" outlineLevel="0" max="11522" min="11522" style="58" width="15.51"/>
    <col collapsed="false" customWidth="true" hidden="false" outlineLevel="0" max="11524" min="11523" style="58" width="16.67"/>
    <col collapsed="false" customWidth="true" hidden="false" outlineLevel="0" max="11525" min="11525" style="58" width="19.16"/>
    <col collapsed="false" customWidth="true" hidden="false" outlineLevel="0" max="11526" min="11526" style="58" width="22.33"/>
    <col collapsed="false" customWidth="false" hidden="false" outlineLevel="0" max="11527" min="11527" style="58" width="9.16"/>
    <col collapsed="false" customWidth="true" hidden="false" outlineLevel="0" max="11528" min="11528" style="58" width="7.83"/>
    <col collapsed="false" customWidth="true" hidden="true" outlineLevel="0" max="11532" min="11529" style="58" width="13"/>
    <col collapsed="false" customWidth="false" hidden="false" outlineLevel="0" max="11777" min="11533" style="58" width="9.16"/>
    <col collapsed="false" customWidth="true" hidden="false" outlineLevel="0" max="11778" min="11778" style="58" width="15.51"/>
    <col collapsed="false" customWidth="true" hidden="false" outlineLevel="0" max="11780" min="11779" style="58" width="16.67"/>
    <col collapsed="false" customWidth="true" hidden="false" outlineLevel="0" max="11781" min="11781" style="58" width="19.16"/>
    <col collapsed="false" customWidth="true" hidden="false" outlineLevel="0" max="11782" min="11782" style="58" width="22.33"/>
    <col collapsed="false" customWidth="false" hidden="false" outlineLevel="0" max="11783" min="11783" style="58" width="9.16"/>
    <col collapsed="false" customWidth="true" hidden="false" outlineLevel="0" max="11784" min="11784" style="58" width="7.83"/>
    <col collapsed="false" customWidth="true" hidden="true" outlineLevel="0" max="11788" min="11785" style="58" width="13"/>
    <col collapsed="false" customWidth="false" hidden="false" outlineLevel="0" max="12033" min="11789" style="58" width="9.16"/>
    <col collapsed="false" customWidth="true" hidden="false" outlineLevel="0" max="12034" min="12034" style="58" width="15.51"/>
    <col collapsed="false" customWidth="true" hidden="false" outlineLevel="0" max="12036" min="12035" style="58" width="16.67"/>
    <col collapsed="false" customWidth="true" hidden="false" outlineLevel="0" max="12037" min="12037" style="58" width="19.16"/>
    <col collapsed="false" customWidth="true" hidden="false" outlineLevel="0" max="12038" min="12038" style="58" width="22.33"/>
    <col collapsed="false" customWidth="false" hidden="false" outlineLevel="0" max="12039" min="12039" style="58" width="9.16"/>
    <col collapsed="false" customWidth="true" hidden="false" outlineLevel="0" max="12040" min="12040" style="58" width="7.83"/>
    <col collapsed="false" customWidth="true" hidden="true" outlineLevel="0" max="12044" min="12041" style="58" width="13"/>
    <col collapsed="false" customWidth="false" hidden="false" outlineLevel="0" max="12289" min="12045" style="58" width="9.16"/>
    <col collapsed="false" customWidth="true" hidden="false" outlineLevel="0" max="12290" min="12290" style="58" width="15.51"/>
    <col collapsed="false" customWidth="true" hidden="false" outlineLevel="0" max="12292" min="12291" style="58" width="16.67"/>
    <col collapsed="false" customWidth="true" hidden="false" outlineLevel="0" max="12293" min="12293" style="58" width="19.16"/>
    <col collapsed="false" customWidth="true" hidden="false" outlineLevel="0" max="12294" min="12294" style="58" width="22.33"/>
    <col collapsed="false" customWidth="false" hidden="false" outlineLevel="0" max="12295" min="12295" style="58" width="9.16"/>
    <col collapsed="false" customWidth="true" hidden="false" outlineLevel="0" max="12296" min="12296" style="58" width="7.83"/>
    <col collapsed="false" customWidth="true" hidden="true" outlineLevel="0" max="12300" min="12297" style="58" width="13"/>
    <col collapsed="false" customWidth="false" hidden="false" outlineLevel="0" max="12545" min="12301" style="58" width="9.16"/>
    <col collapsed="false" customWidth="true" hidden="false" outlineLevel="0" max="12546" min="12546" style="58" width="15.51"/>
    <col collapsed="false" customWidth="true" hidden="false" outlineLevel="0" max="12548" min="12547" style="58" width="16.67"/>
    <col collapsed="false" customWidth="true" hidden="false" outlineLevel="0" max="12549" min="12549" style="58" width="19.16"/>
    <col collapsed="false" customWidth="true" hidden="false" outlineLevel="0" max="12550" min="12550" style="58" width="22.33"/>
    <col collapsed="false" customWidth="false" hidden="false" outlineLevel="0" max="12551" min="12551" style="58" width="9.16"/>
    <col collapsed="false" customWidth="true" hidden="false" outlineLevel="0" max="12552" min="12552" style="58" width="7.83"/>
    <col collapsed="false" customWidth="true" hidden="true" outlineLevel="0" max="12556" min="12553" style="58" width="13"/>
    <col collapsed="false" customWidth="false" hidden="false" outlineLevel="0" max="12801" min="12557" style="58" width="9.16"/>
    <col collapsed="false" customWidth="true" hidden="false" outlineLevel="0" max="12802" min="12802" style="58" width="15.51"/>
    <col collapsed="false" customWidth="true" hidden="false" outlineLevel="0" max="12804" min="12803" style="58" width="16.67"/>
    <col collapsed="false" customWidth="true" hidden="false" outlineLevel="0" max="12805" min="12805" style="58" width="19.16"/>
    <col collapsed="false" customWidth="true" hidden="false" outlineLevel="0" max="12806" min="12806" style="58" width="22.33"/>
    <col collapsed="false" customWidth="false" hidden="false" outlineLevel="0" max="12807" min="12807" style="58" width="9.16"/>
    <col collapsed="false" customWidth="true" hidden="false" outlineLevel="0" max="12808" min="12808" style="58" width="7.83"/>
    <col collapsed="false" customWidth="true" hidden="true" outlineLevel="0" max="12812" min="12809" style="58" width="13"/>
    <col collapsed="false" customWidth="false" hidden="false" outlineLevel="0" max="13057" min="12813" style="58" width="9.16"/>
    <col collapsed="false" customWidth="true" hidden="false" outlineLevel="0" max="13058" min="13058" style="58" width="15.51"/>
    <col collapsed="false" customWidth="true" hidden="false" outlineLevel="0" max="13060" min="13059" style="58" width="16.67"/>
    <col collapsed="false" customWidth="true" hidden="false" outlineLevel="0" max="13061" min="13061" style="58" width="19.16"/>
    <col collapsed="false" customWidth="true" hidden="false" outlineLevel="0" max="13062" min="13062" style="58" width="22.33"/>
    <col collapsed="false" customWidth="false" hidden="false" outlineLevel="0" max="13063" min="13063" style="58" width="9.16"/>
    <col collapsed="false" customWidth="true" hidden="false" outlineLevel="0" max="13064" min="13064" style="58" width="7.83"/>
    <col collapsed="false" customWidth="true" hidden="true" outlineLevel="0" max="13068" min="13065" style="58" width="13"/>
    <col collapsed="false" customWidth="false" hidden="false" outlineLevel="0" max="13313" min="13069" style="58" width="9.16"/>
    <col collapsed="false" customWidth="true" hidden="false" outlineLevel="0" max="13314" min="13314" style="58" width="15.51"/>
    <col collapsed="false" customWidth="true" hidden="false" outlineLevel="0" max="13316" min="13315" style="58" width="16.67"/>
    <col collapsed="false" customWidth="true" hidden="false" outlineLevel="0" max="13317" min="13317" style="58" width="19.16"/>
    <col collapsed="false" customWidth="true" hidden="false" outlineLevel="0" max="13318" min="13318" style="58" width="22.33"/>
    <col collapsed="false" customWidth="false" hidden="false" outlineLevel="0" max="13319" min="13319" style="58" width="9.16"/>
    <col collapsed="false" customWidth="true" hidden="false" outlineLevel="0" max="13320" min="13320" style="58" width="7.83"/>
    <col collapsed="false" customWidth="true" hidden="true" outlineLevel="0" max="13324" min="13321" style="58" width="13"/>
    <col collapsed="false" customWidth="false" hidden="false" outlineLevel="0" max="13569" min="13325" style="58" width="9.16"/>
    <col collapsed="false" customWidth="true" hidden="false" outlineLevel="0" max="13570" min="13570" style="58" width="15.51"/>
    <col collapsed="false" customWidth="true" hidden="false" outlineLevel="0" max="13572" min="13571" style="58" width="16.67"/>
    <col collapsed="false" customWidth="true" hidden="false" outlineLevel="0" max="13573" min="13573" style="58" width="19.16"/>
    <col collapsed="false" customWidth="true" hidden="false" outlineLevel="0" max="13574" min="13574" style="58" width="22.33"/>
    <col collapsed="false" customWidth="false" hidden="false" outlineLevel="0" max="13575" min="13575" style="58" width="9.16"/>
    <col collapsed="false" customWidth="true" hidden="false" outlineLevel="0" max="13576" min="13576" style="58" width="7.83"/>
    <col collapsed="false" customWidth="true" hidden="true" outlineLevel="0" max="13580" min="13577" style="58" width="13"/>
    <col collapsed="false" customWidth="false" hidden="false" outlineLevel="0" max="13825" min="13581" style="58" width="9.16"/>
    <col collapsed="false" customWidth="true" hidden="false" outlineLevel="0" max="13826" min="13826" style="58" width="15.51"/>
    <col collapsed="false" customWidth="true" hidden="false" outlineLevel="0" max="13828" min="13827" style="58" width="16.67"/>
    <col collapsed="false" customWidth="true" hidden="false" outlineLevel="0" max="13829" min="13829" style="58" width="19.16"/>
    <col collapsed="false" customWidth="true" hidden="false" outlineLevel="0" max="13830" min="13830" style="58" width="22.33"/>
    <col collapsed="false" customWidth="false" hidden="false" outlineLevel="0" max="13831" min="13831" style="58" width="9.16"/>
    <col collapsed="false" customWidth="true" hidden="false" outlineLevel="0" max="13832" min="13832" style="58" width="7.83"/>
    <col collapsed="false" customWidth="true" hidden="true" outlineLevel="0" max="13836" min="13833" style="58" width="13"/>
    <col collapsed="false" customWidth="false" hidden="false" outlineLevel="0" max="14081" min="13837" style="58" width="9.16"/>
    <col collapsed="false" customWidth="true" hidden="false" outlineLevel="0" max="14082" min="14082" style="58" width="15.51"/>
    <col collapsed="false" customWidth="true" hidden="false" outlineLevel="0" max="14084" min="14083" style="58" width="16.67"/>
    <col collapsed="false" customWidth="true" hidden="false" outlineLevel="0" max="14085" min="14085" style="58" width="19.16"/>
    <col collapsed="false" customWidth="true" hidden="false" outlineLevel="0" max="14086" min="14086" style="58" width="22.33"/>
    <col collapsed="false" customWidth="false" hidden="false" outlineLevel="0" max="14087" min="14087" style="58" width="9.16"/>
    <col collapsed="false" customWidth="true" hidden="false" outlineLevel="0" max="14088" min="14088" style="58" width="7.83"/>
    <col collapsed="false" customWidth="true" hidden="true" outlineLevel="0" max="14092" min="14089" style="58" width="13"/>
    <col collapsed="false" customWidth="false" hidden="false" outlineLevel="0" max="14337" min="14093" style="58" width="9.16"/>
    <col collapsed="false" customWidth="true" hidden="false" outlineLevel="0" max="14338" min="14338" style="58" width="15.51"/>
    <col collapsed="false" customWidth="true" hidden="false" outlineLevel="0" max="14340" min="14339" style="58" width="16.67"/>
    <col collapsed="false" customWidth="true" hidden="false" outlineLevel="0" max="14341" min="14341" style="58" width="19.16"/>
    <col collapsed="false" customWidth="true" hidden="false" outlineLevel="0" max="14342" min="14342" style="58" width="22.33"/>
    <col collapsed="false" customWidth="false" hidden="false" outlineLevel="0" max="14343" min="14343" style="58" width="9.16"/>
    <col collapsed="false" customWidth="true" hidden="false" outlineLevel="0" max="14344" min="14344" style="58" width="7.83"/>
    <col collapsed="false" customWidth="true" hidden="true" outlineLevel="0" max="14348" min="14345" style="58" width="13"/>
    <col collapsed="false" customWidth="false" hidden="false" outlineLevel="0" max="14593" min="14349" style="58" width="9.16"/>
    <col collapsed="false" customWidth="true" hidden="false" outlineLevel="0" max="14594" min="14594" style="58" width="15.51"/>
    <col collapsed="false" customWidth="true" hidden="false" outlineLevel="0" max="14596" min="14595" style="58" width="16.67"/>
    <col collapsed="false" customWidth="true" hidden="false" outlineLevel="0" max="14597" min="14597" style="58" width="19.16"/>
    <col collapsed="false" customWidth="true" hidden="false" outlineLevel="0" max="14598" min="14598" style="58" width="22.33"/>
    <col collapsed="false" customWidth="false" hidden="false" outlineLevel="0" max="14599" min="14599" style="58" width="9.16"/>
    <col collapsed="false" customWidth="true" hidden="false" outlineLevel="0" max="14600" min="14600" style="58" width="7.83"/>
    <col collapsed="false" customWidth="true" hidden="true" outlineLevel="0" max="14604" min="14601" style="58" width="13"/>
    <col collapsed="false" customWidth="false" hidden="false" outlineLevel="0" max="14849" min="14605" style="58" width="9.16"/>
    <col collapsed="false" customWidth="true" hidden="false" outlineLevel="0" max="14850" min="14850" style="58" width="15.51"/>
    <col collapsed="false" customWidth="true" hidden="false" outlineLevel="0" max="14852" min="14851" style="58" width="16.67"/>
    <col collapsed="false" customWidth="true" hidden="false" outlineLevel="0" max="14853" min="14853" style="58" width="19.16"/>
    <col collapsed="false" customWidth="true" hidden="false" outlineLevel="0" max="14854" min="14854" style="58" width="22.33"/>
    <col collapsed="false" customWidth="false" hidden="false" outlineLevel="0" max="14855" min="14855" style="58" width="9.16"/>
    <col collapsed="false" customWidth="true" hidden="false" outlineLevel="0" max="14856" min="14856" style="58" width="7.83"/>
    <col collapsed="false" customWidth="true" hidden="true" outlineLevel="0" max="14860" min="14857" style="58" width="13"/>
    <col collapsed="false" customWidth="false" hidden="false" outlineLevel="0" max="15105" min="14861" style="58" width="9.16"/>
    <col collapsed="false" customWidth="true" hidden="false" outlineLevel="0" max="15106" min="15106" style="58" width="15.51"/>
    <col collapsed="false" customWidth="true" hidden="false" outlineLevel="0" max="15108" min="15107" style="58" width="16.67"/>
    <col collapsed="false" customWidth="true" hidden="false" outlineLevel="0" max="15109" min="15109" style="58" width="19.16"/>
    <col collapsed="false" customWidth="true" hidden="false" outlineLevel="0" max="15110" min="15110" style="58" width="22.33"/>
    <col collapsed="false" customWidth="false" hidden="false" outlineLevel="0" max="15111" min="15111" style="58" width="9.16"/>
    <col collapsed="false" customWidth="true" hidden="false" outlineLevel="0" max="15112" min="15112" style="58" width="7.83"/>
    <col collapsed="false" customWidth="true" hidden="true" outlineLevel="0" max="15116" min="15113" style="58" width="13"/>
    <col collapsed="false" customWidth="false" hidden="false" outlineLevel="0" max="15361" min="15117" style="58" width="9.16"/>
    <col collapsed="false" customWidth="true" hidden="false" outlineLevel="0" max="15362" min="15362" style="58" width="15.51"/>
    <col collapsed="false" customWidth="true" hidden="false" outlineLevel="0" max="15364" min="15363" style="58" width="16.67"/>
    <col collapsed="false" customWidth="true" hidden="false" outlineLevel="0" max="15365" min="15365" style="58" width="19.16"/>
    <col collapsed="false" customWidth="true" hidden="false" outlineLevel="0" max="15366" min="15366" style="58" width="22.33"/>
    <col collapsed="false" customWidth="false" hidden="false" outlineLevel="0" max="15367" min="15367" style="58" width="9.16"/>
    <col collapsed="false" customWidth="true" hidden="false" outlineLevel="0" max="15368" min="15368" style="58" width="7.83"/>
    <col collapsed="false" customWidth="true" hidden="true" outlineLevel="0" max="15372" min="15369" style="58" width="13"/>
    <col collapsed="false" customWidth="false" hidden="false" outlineLevel="0" max="15617" min="15373" style="58" width="9.16"/>
    <col collapsed="false" customWidth="true" hidden="false" outlineLevel="0" max="15618" min="15618" style="58" width="15.51"/>
    <col collapsed="false" customWidth="true" hidden="false" outlineLevel="0" max="15620" min="15619" style="58" width="16.67"/>
    <col collapsed="false" customWidth="true" hidden="false" outlineLevel="0" max="15621" min="15621" style="58" width="19.16"/>
    <col collapsed="false" customWidth="true" hidden="false" outlineLevel="0" max="15622" min="15622" style="58" width="22.33"/>
    <col collapsed="false" customWidth="false" hidden="false" outlineLevel="0" max="15623" min="15623" style="58" width="9.16"/>
    <col collapsed="false" customWidth="true" hidden="false" outlineLevel="0" max="15624" min="15624" style="58" width="7.83"/>
    <col collapsed="false" customWidth="true" hidden="true" outlineLevel="0" max="15628" min="15625" style="58" width="13"/>
    <col collapsed="false" customWidth="false" hidden="false" outlineLevel="0" max="15873" min="15629" style="58" width="9.16"/>
    <col collapsed="false" customWidth="true" hidden="false" outlineLevel="0" max="15874" min="15874" style="58" width="15.51"/>
    <col collapsed="false" customWidth="true" hidden="false" outlineLevel="0" max="15876" min="15875" style="58" width="16.67"/>
    <col collapsed="false" customWidth="true" hidden="false" outlineLevel="0" max="15877" min="15877" style="58" width="19.16"/>
    <col collapsed="false" customWidth="true" hidden="false" outlineLevel="0" max="15878" min="15878" style="58" width="22.33"/>
    <col collapsed="false" customWidth="false" hidden="false" outlineLevel="0" max="15879" min="15879" style="58" width="9.16"/>
    <col collapsed="false" customWidth="true" hidden="false" outlineLevel="0" max="15880" min="15880" style="58" width="7.83"/>
    <col collapsed="false" customWidth="true" hidden="true" outlineLevel="0" max="15884" min="15881" style="58" width="13"/>
    <col collapsed="false" customWidth="false" hidden="false" outlineLevel="0" max="16129" min="15885" style="58" width="9.16"/>
    <col collapsed="false" customWidth="true" hidden="false" outlineLevel="0" max="16130" min="16130" style="58" width="15.51"/>
    <col collapsed="false" customWidth="true" hidden="false" outlineLevel="0" max="16132" min="16131" style="58" width="16.67"/>
    <col collapsed="false" customWidth="true" hidden="false" outlineLevel="0" max="16133" min="16133" style="58" width="19.16"/>
    <col collapsed="false" customWidth="true" hidden="false" outlineLevel="0" max="16134" min="16134" style="58" width="22.33"/>
    <col collapsed="false" customWidth="false" hidden="false" outlineLevel="0" max="16135" min="16135" style="58" width="9.16"/>
    <col collapsed="false" customWidth="true" hidden="false" outlineLevel="0" max="16136" min="16136" style="58" width="7.83"/>
    <col collapsed="false" customWidth="true" hidden="true" outlineLevel="0" max="16140" min="16137" style="58" width="13"/>
    <col collapsed="false" customWidth="false" hidden="false" outlineLevel="0" max="16384" min="16141" style="58" width="9.16"/>
  </cols>
  <sheetData>
    <row r="1" customFormat="false" ht="15.75" hidden="false" customHeight="true" outlineLevel="0" collapsed="false">
      <c r="A1" s="59"/>
      <c r="B1" s="59"/>
      <c r="C1" s="59"/>
      <c r="D1" s="59"/>
      <c r="E1" s="59"/>
      <c r="F1" s="59"/>
      <c r="G1" s="59"/>
      <c r="H1" s="59"/>
      <c r="I1" s="59"/>
      <c r="J1" s="59"/>
    </row>
    <row r="2" customFormat="false" ht="24" hidden="false" customHeight="true" outlineLevel="0" collapsed="false">
      <c r="A2" s="60" t="str">
        <f aca="false">VLOOKUP(E2,'Patient Information'!1:65535,2)&amp;", "&amp;VLOOKUP(E2,'Patient Information'!1:65535,3)</f>
        <v>Doe , Jane</v>
      </c>
      <c r="B2" s="61"/>
      <c r="C2" s="61"/>
      <c r="D2" s="62" t="s">
        <v>106</v>
      </c>
      <c r="E2" s="63" t="n">
        <f aca="false">'Patient Information'!A10</f>
        <v>0</v>
      </c>
      <c r="F2" s="61"/>
      <c r="G2" s="59"/>
      <c r="H2" s="59"/>
    </row>
    <row r="3" customFormat="false" ht="19.5" hidden="false" customHeight="true" outlineLevel="0" collapsed="false">
      <c r="A3" s="64" t="str">
        <f aca="false">"Perioperative Anticoagulation Plan for "&amp;VLOOKUP(E2,'Patient Information'!1:65535,8)&amp;" on "&amp;MONTH(VLOOKUP(E2,'Patient Information'!1:65535,5))&amp;"/"&amp;DAY(VLOOKUP(E2,'Patient Information'!1:65535,5))&amp;"/"&amp;YEAR(VLOOKUP(E2,'Patient Information'!1:65535,5))</f>
        <v>Perioperative Anticoagulation Plan for Knee Surgery on 9/5/2025</v>
      </c>
      <c r="B3" s="64"/>
      <c r="C3" s="64"/>
      <c r="D3" s="64"/>
      <c r="E3" s="64"/>
      <c r="F3" s="64"/>
      <c r="G3" s="59"/>
      <c r="H3" s="59"/>
    </row>
    <row r="4" customFormat="false" ht="18" hidden="false" customHeight="true" outlineLevel="0" collapsed="false">
      <c r="A4" s="65"/>
      <c r="B4" s="65"/>
      <c r="C4" s="65"/>
      <c r="D4" s="65"/>
      <c r="E4" s="65"/>
      <c r="F4" s="65"/>
    </row>
    <row r="5" customFormat="false" ht="18" hidden="false" customHeight="true" outlineLevel="0" collapsed="false">
      <c r="A5" s="66" t="s">
        <v>38</v>
      </c>
      <c r="B5" s="66" t="s">
        <v>107</v>
      </c>
      <c r="C5" s="67" t="s">
        <v>108</v>
      </c>
      <c r="D5" s="67"/>
      <c r="E5" s="67" t="s">
        <v>109</v>
      </c>
      <c r="F5" s="67" t="s">
        <v>110</v>
      </c>
    </row>
    <row r="6" customFormat="false" ht="15.75" hidden="false" customHeight="true" outlineLevel="0" collapsed="false">
      <c r="A6" s="66"/>
      <c r="B6" s="66"/>
      <c r="C6" s="68" t="s">
        <v>111</v>
      </c>
      <c r="D6" s="68" t="s">
        <v>112</v>
      </c>
      <c r="E6" s="69"/>
      <c r="F6" s="69"/>
    </row>
    <row r="7" customFormat="false" ht="15.75" hidden="false" customHeight="true" outlineLevel="0" collapsed="false">
      <c r="A7" s="70" t="n">
        <f aca="false">IF(ISNA(References!$I$3)=TRUE(),"",VLOOKUP($E$2,'Patient Information'!1:65535,4))</f>
        <v>45904</v>
      </c>
      <c r="B7" s="71" t="str">
        <f aca="false">TEXT(RIGHT(A7,9), "dddd")</f>
        <v>Thursday</v>
      </c>
      <c r="C7" s="72" t="s">
        <v>113</v>
      </c>
      <c r="D7" s="72" t="s">
        <v>113</v>
      </c>
      <c r="E7" s="72" t="s">
        <v>113</v>
      </c>
      <c r="F7" s="72" t="str">
        <f aca="false">IF(A7=References!I4=TRUE(),"INR + CBC at "&amp;VLOOKUP(E2,'Patient Information'!1:65535,7),"")</f>
        <v/>
      </c>
    </row>
    <row r="8" customFormat="false" ht="15.75" hidden="false" customHeight="true" outlineLevel="0" collapsed="false">
      <c r="A8" s="73" t="str">
        <f aca="false">IF(ISNA(References!$I$3)=TRUE(),"",IF(References!$I$3=1,"SURGERY "&amp;TEXT(References!$I$2, "m/dd/yyyy"),IF(References!$I$3+References!$I$5&gt;=1,$A$7+1,"")))</f>
        <v>SURGERY 9/05/2025</v>
      </c>
      <c r="B8" s="74" t="str">
        <f aca="false">TEXT(RIGHT(A8,9), "dddd")</f>
        <v>Friday</v>
      </c>
      <c r="C8" s="75" t="str">
        <f aca="false">IF(References!I3+References!I5&gt;=1,IF(ISTEXT(A8)=TRUE(),"None",IF(References!I2-A8=1,IF(VLOOKUP(E2,'Patient Information'!1:65535,10)="Once",(References!L1/2)&amp;" mg (half-dose)",References!L1&amp;" mg"),References!L1&amp;" mg")),"")</f>
        <v>None</v>
      </c>
      <c r="D8" s="75" t="str">
        <f aca="false">IF(References!I3+References!I5&gt;=1,IF(ISTEXT(A8)=TRUE(),"None",IF(A8+1=References!I2,"None",IF(VLOOKUP(E2,'Patient Information'!1:65535,10)="Twice",VLOOKUP(E2,'Patient Information'!1:65535,9)&amp;" mg","None"))),"")</f>
        <v>None</v>
      </c>
      <c r="E8" s="75" t="str">
        <f aca="false">IF(References!I3+References!I5&gt;=1,IF(ISTEXT(A8)=TRUE(),"Previous Dose",IF(References!I3+References!I5=2,"As Directed",IF(References!I2-A8&gt;=1,"None","Previous Dose"))),"")</f>
        <v>Previous Dose</v>
      </c>
      <c r="F8" s="75" t="str">
        <f aca="false">IF(A8=References!I4=TRUE(),"INR + CBC at "&amp;VLOOKUP(E2,'Patient Information'!1:65535,7),"")</f>
        <v/>
      </c>
    </row>
    <row r="9" customFormat="false" ht="15.75" hidden="false" customHeight="true" outlineLevel="0" collapsed="false">
      <c r="A9" s="70" t="n">
        <f aca="false">IF(ISNA(References!$I$3)=TRUE(),"",IF(References!$I$3=2,"SURGERY "&amp;TEXT(References!$I$2, "m/dd/yyyy"),IF(References!I3+References!$I$5&gt;=2,$A$7+2,"")))</f>
        <v>45906</v>
      </c>
      <c r="B9" s="71" t="str">
        <f aca="false">TEXT(RIGHT(A9,9), "dddd")</f>
        <v>Saturday</v>
      </c>
      <c r="C9" s="72" t="str">
        <f aca="false">IF(References!I3+References!I5&gt;=2,IF(ISTEXT(A9)=TRUE(),"None",IF(References!I2-A9=1,IF(VLOOKUP(E2,'Patient Information'!1:65535,10)="Once",(References!L1/2)&amp;" mg (half-dose)",References!L1&amp;" mg"),References!L1&amp;" mg")),"")</f>
        <v>150 mg</v>
      </c>
      <c r="D9" s="72" t="str">
        <f aca="false">IF(References!I3+References!I5&gt;=2,IF(ISTEXT(A9)=TRUE(),"None",IF(A9+1=References!I2,"None",IF(VLOOKUP(E2,'Patient Information'!1:65535,10)="Twice",VLOOKUP(E2,'Patient Information'!1:65535,9)&amp;" mg","None"))),"")</f>
        <v>None</v>
      </c>
      <c r="E9" s="72" t="str">
        <f aca="false">IF(References!I3+References!I5&gt;=2,IF(ISTEXT(A9)=TRUE(),"Previous Dose",IF(References!I3+References!I5=3,"As Directed",IF(References!I2-A9&gt;=1,"None","Previous Dose"))),"")</f>
        <v>Previous Dose</v>
      </c>
      <c r="F9" s="72" t="str">
        <f aca="false">IF(A9=References!I4=TRUE(),"INR + CBC at "&amp;VLOOKUP(E2,'Patient Information'!1:65535,7),"")</f>
        <v/>
      </c>
    </row>
    <row r="10" customFormat="false" ht="15.75" hidden="false" customHeight="true" outlineLevel="0" collapsed="false">
      <c r="A10" s="73" t="n">
        <f aca="false">IF(ISNA(References!$I$3)=TRUE(),"",IF(References!$I$3=3,"SURGERY "&amp;TEXT(References!I2, "m/dd/yyyy"),IF(References!$I$3+References!$I$5&gt;=3,$A$7+3,"")))</f>
        <v>45907</v>
      </c>
      <c r="B10" s="74" t="str">
        <f aca="false">TEXT(RIGHT(A10,9), "dddd")</f>
        <v>Sunday</v>
      </c>
      <c r="C10" s="75" t="str">
        <f aca="false">IF(References!I3+References!I5&gt;=3,IF(ISTEXT(A10)=TRUE(),"None",IF(References!I2-A10=1,IF(VLOOKUP(E2,'Patient Information'!1:65535,10)="Once",(References!L1/2)&amp;" mg (half-dose)",References!L1&amp;" mg"),References!L1&amp;" mg")),"")</f>
        <v>150 mg</v>
      </c>
      <c r="D10" s="75" t="str">
        <f aca="false">IF(References!I3+References!I5&gt;=3,IF(ISTEXT(A10)=TRUE(),"None",IF(A10+1=References!I2,"None",IF(VLOOKUP(E2,'Patient Information'!1:65535,10)="Twice",VLOOKUP(E2,'Patient Information'!1:65535,9)&amp;" mg","None"))),"")</f>
        <v>None</v>
      </c>
      <c r="E10" s="75" t="str">
        <f aca="false">IF(References!I3+References!I5&gt;=3,IF(ISTEXT(A10)=TRUE(),"Previous Dose",IF(References!I3+References!I5=3,"As Directed",IF(References!I2-A10&gt;=1,"None","Previous Dose"))),"")</f>
        <v>Previous Dose</v>
      </c>
      <c r="F10" s="75" t="str">
        <f aca="false">IF(A10=References!I4=TRUE(),"INR + CBC at "&amp;VLOOKUP(E2,'Patient Information'!1:65535,7),"")</f>
        <v/>
      </c>
    </row>
    <row r="11" customFormat="false" ht="15.75" hidden="false" customHeight="true" outlineLevel="0" collapsed="false">
      <c r="A11" s="70" t="n">
        <f aca="false">IF(ISNA(References!I3)=TRUE(),"",IF(References!I3=4,"SURGERY "&amp;TEXT(References!I2, "m/dd/yyyy"),IF(References!I3+References!I5&gt;=4,A7+4,"")))</f>
        <v>45908</v>
      </c>
      <c r="B11" s="71" t="str">
        <f aca="false">TEXT(RIGHT(A11,9), "dddd")</f>
        <v>Monday</v>
      </c>
      <c r="C11" s="72" t="str">
        <f aca="false">IF(References!I3+References!I5&gt;=4,IF(ISTEXT(A11)=TRUE(),"None",IF(References!I2-A11=1,IF(VLOOKUP(E2,'Patient Information'!1:65535,10)="Once",(References!L1/2)&amp;" mg (half-dose)",References!L1&amp;" mg"),References!L1&amp;" mg")),"")</f>
        <v>150 mg</v>
      </c>
      <c r="D11" s="72" t="str">
        <f aca="false">IF(References!I3+References!I5&gt;=4,IF(ISTEXT(A11)=TRUE(),"None",IF(A11+1=References!I2,"None",IF(VLOOKUP(E2,'Patient Information'!1:65535,10)="Twice",VLOOKUP(E2,'Patient Information'!1:65535,9)&amp;" mg","None"))),"")</f>
        <v>None</v>
      </c>
      <c r="E11" s="72" t="str">
        <f aca="false">IF(References!I3+References!I5&gt;=4,IF(ISTEXT(A11)=TRUE(),"Previous Dose",IF(References!I3+References!I5=4,"As Directed",IF(References!I2-A11&gt;=1,"None","Previous Dose"))),"")</f>
        <v>Previous Dose</v>
      </c>
      <c r="F11" s="72" t="str">
        <f aca="false">IF(A11=References!I4=TRUE(),"INR + CBC at "&amp;VLOOKUP(E2,'Patient Information'!1:65535,7),"")</f>
        <v/>
      </c>
    </row>
    <row r="12" customFormat="false" ht="15.75" hidden="false" customHeight="true" outlineLevel="0" collapsed="false">
      <c r="A12" s="73" t="n">
        <f aca="false">IF(ISNA(References!I3)=TRUE(),"",IF(References!I3=5,"SURGERY "&amp;TEXT(References!I2, "m/dd/yyyy"),IF(References!I3+References!I5&gt;=5,A7+5,"")))</f>
        <v>45909</v>
      </c>
      <c r="B12" s="74" t="str">
        <f aca="false">TEXT(RIGHT(A12,9), "dddd")</f>
        <v>Tuesday</v>
      </c>
      <c r="C12" s="75" t="str">
        <f aca="false">IF(References!I3+References!I5&gt;=5,IF(ISTEXT(A12)=TRUE(),"None",IF(References!I2-A12=1,IF(VLOOKUP(E2,'Patient Information'!1:65535,10)="Once",(References!L1/2)&amp;" mg (half-dose)",References!L1&amp;" mg"),References!L1&amp;" mg")),"")</f>
        <v>150 mg</v>
      </c>
      <c r="D12" s="75" t="str">
        <f aca="false">IF(References!I3+References!I5&gt;=5,IF(ISTEXT(A12)=TRUE(),"None",IF(A12+1=References!I2,"None",IF(VLOOKUP(E2,'Patient Information'!1:65535,10)="Twice",VLOOKUP(E2,'Patient Information'!1:65535,9)&amp;" mg","None"))),"")</f>
        <v>None</v>
      </c>
      <c r="E12" s="75" t="str">
        <f aca="false">IF(References!I3+References!I5&gt;=5,IF(ISTEXT(A12)=TRUE(),"Previous Dose",IF(References!I3+References!I5=5,"As Directed",IF(References!I2-A12&gt;=1,"None","Previous Dose"))),"")</f>
        <v>Previous Dose</v>
      </c>
      <c r="F12" s="75" t="str">
        <f aca="false">IF(A12=References!I4=TRUE(),"INR + CBC at "&amp;VLOOKUP(E2,'Patient Information'!1:65535,7),"")</f>
        <v/>
      </c>
    </row>
    <row r="13" customFormat="false" ht="15.75" hidden="false" customHeight="true" outlineLevel="0" collapsed="false">
      <c r="A13" s="70" t="n">
        <f aca="false">IF(ISNA(References!I3)=TRUE(),"",IF(References!I3=6,"SURGERY "&amp;TEXT(References!I2, "m/dd/yyyy"),IF(References!I3+References!I5&gt;=6,A7+6,"")))</f>
        <v>45910</v>
      </c>
      <c r="B13" s="71" t="str">
        <f aca="false">TEXT(RIGHT(A13,9), "dddd")</f>
        <v>Wednesday</v>
      </c>
      <c r="C13" s="72" t="str">
        <f aca="false">IF(References!I3+References!I5&gt;=6,IF(ISTEXT(A13)=TRUE(),"None",IF(References!I2-A13=1,IF(VLOOKUP(E2,'Patient Information'!1:65535,10)="Once",(References!L1/2)&amp;" mg (half-dose)",References!L1&amp;" mg"),References!L1&amp;" mg")),"")</f>
        <v>150 mg</v>
      </c>
      <c r="D13" s="72" t="str">
        <f aca="false">IF(References!I3+References!I5&gt;=6,IF(ISTEXT(A13)=TRUE(),"None",IF(A13+1=References!I2,"None",IF(VLOOKUP(E2,'Patient Information'!1:65535,10)="Twice",VLOOKUP(E2,'Patient Information'!1:65535,9)&amp;" mg","None"))),"")</f>
        <v>None</v>
      </c>
      <c r="E13" s="72" t="str">
        <f aca="false">IF(References!I3+References!I5&gt;=6,IF(ISTEXT(A13)=TRUE(),"Previous Dose",IF(References!I3+References!I5=6,"As Directed",IF(References!I2-A13&gt;=1,"None","Previous Dose"))),"")</f>
        <v>Previous Dose</v>
      </c>
      <c r="F13" s="72" t="str">
        <f aca="false">IF(A13=References!I4=TRUE(),"INR + CBC at "&amp;VLOOKUP(E2,'Patient Information'!1:65535,7),"")</f>
        <v/>
      </c>
    </row>
    <row r="14" customFormat="false" ht="15.75" hidden="false" customHeight="true" outlineLevel="0" collapsed="false">
      <c r="A14" s="73" t="n">
        <f aca="false">IF(ISNA(References!I3)=TRUE(),"",IF(References!I3=7,"SURGERY "&amp;TEXT(References!I2, "m/dd/yyyy"),IF(References!I3+References!I5&gt;=7,A7+7,"")))</f>
        <v>45911</v>
      </c>
      <c r="B14" s="74" t="str">
        <f aca="false">TEXT(RIGHT(A14,9), "dddd")</f>
        <v>Thursday</v>
      </c>
      <c r="C14" s="75" t="str">
        <f aca="false">IF(References!I3+References!I5&gt;=7,IF(ISTEXT(A14)=TRUE(),"None",IF(References!I2-A14=1,IF(VLOOKUP(E2,'Patient Information'!1:65535,10)="Once",(References!L1/2)&amp;" mg (half-dose)",References!L1&amp;" mg"),References!L1&amp;" mg")),"")</f>
        <v>150 mg</v>
      </c>
      <c r="D14" s="75" t="str">
        <f aca="false">IF(References!I3+References!I5&gt;=7,IF(ISTEXT(A14)=TRUE(),"None",IF(A14+1=References!I2,"None",IF(VLOOKUP(E2,'Patient Information'!1:65535,10)="Twice",VLOOKUP(E2,'Patient Information'!1:65535,9)&amp;" mg","None"))),"")</f>
        <v>None</v>
      </c>
      <c r="E14" s="75" t="str">
        <f aca="false">IF(References!I3+References!I5&gt;=7,IF(ISTEXT(A14)=TRUE(),"Previous Dose",IF(References!I3+References!I5=7,"As Directed",IF(References!I2-A14&gt;=1,"None","Previous Dose"))),"")</f>
        <v>Previous Dose</v>
      </c>
      <c r="F14" s="75" t="str">
        <f aca="false">IF(A14=References!I4=TRUE(),"INR + CBC at "&amp;VLOOKUP(E2,'Patient Information'!1:65535,7),"")</f>
        <v/>
      </c>
    </row>
    <row r="15" customFormat="false" ht="15.75" hidden="false" customHeight="true" outlineLevel="0" collapsed="false">
      <c r="A15" s="70" t="n">
        <f aca="false">IF(ISNA(References!I3)=TRUE(),"",IF(References!I3=8,"SURGERY "&amp;TEXT(References!I2, "m/dd/yyyy"),IF(References!I3+References!I5&gt;=8,A7+8,"")))</f>
        <v>45912</v>
      </c>
      <c r="B15" s="71" t="str">
        <f aca="false">TEXT(RIGHT(A15,9), "dddd")</f>
        <v>Friday</v>
      </c>
      <c r="C15" s="72" t="str">
        <f aca="false">IF(References!I3+References!I5&gt;=8,IF(ISTEXT(A15)=TRUE(),"None",IF(References!I2-A15=1,IF(VLOOKUP(E2,'Patient Information'!1:65535,10)="Once",(References!L1/2)&amp;" mg (half-dose)",References!L1&amp;" mg"),References!L1&amp;" mg")),"")</f>
        <v>150 mg</v>
      </c>
      <c r="D15" s="72" t="str">
        <f aca="false">IF(References!I3+References!I5&gt;=8,IF(ISTEXT(A15)=TRUE(),"None",IF(A15+1=References!I2,"None",IF(VLOOKUP(E2,'Patient Information'!1:65535,10)="Twice",VLOOKUP(E2,'Patient Information'!1:65535,9)&amp;" mg","None"))),"")</f>
        <v>None</v>
      </c>
      <c r="E15" s="72" t="str">
        <f aca="false">IF(References!I3+References!I5&gt;=8,IF(ISTEXT(A15)=TRUE(),"Previous Dose",IF(References!I3+References!I5=8,"As Directed",IF(References!I2-A15&gt;=1,"None","Previous Dose"))),"")</f>
        <v>Previous Dose</v>
      </c>
      <c r="F15" s="72" t="str">
        <f aca="false">IF(A15=References!I4=TRUE(),"INR + CBC at "&amp;VLOOKUP(E2,'Patient Information'!1:65535,7),"")</f>
        <v/>
      </c>
    </row>
    <row r="16" customFormat="false" ht="15.75" hidden="false" customHeight="true" outlineLevel="0" collapsed="false">
      <c r="A16" s="73" t="n">
        <f aca="false">IF(ISNA(References!I3)=TRUE(),"",IF(References!I3=9,"SURGERY "&amp;TEXT(References!I2, "m/dd/yyyy"),IF(References!I3+References!I5&gt;=9,A7+9,"")))</f>
        <v>45913</v>
      </c>
      <c r="B16" s="74" t="str">
        <f aca="false">TEXT(RIGHT(A16,9), "dddd")</f>
        <v>Saturday</v>
      </c>
      <c r="C16" s="75" t="str">
        <f aca="false">IF(References!I3+References!I5&gt;=9,IF(ISTEXT(A16)=TRUE(),"None",IF(References!I2-A16=1,IF(VLOOKUP(E2,'Patient Information'!1:65535,10)="Once",(References!L1/2)&amp;" mg (half-dose)",References!L1&amp;" mg"),References!L1&amp;" mg")),"")</f>
        <v>150 mg</v>
      </c>
      <c r="D16" s="75" t="str">
        <f aca="false">IF(References!I3+References!I5&gt;=9,IF(ISTEXT(A16)=TRUE(),"None",IF(A16+1=References!I2,"None",IF(VLOOKUP(E2,'Patient Information'!1:65535,10)="Twice",VLOOKUP(E2,'Patient Information'!1:65535,9)&amp;" mg","None"))),"")</f>
        <v>None</v>
      </c>
      <c r="E16" s="75" t="str">
        <f aca="false">IF(References!I3+References!I5&gt;=9,IF(ISTEXT(A16)=TRUE(),"Previous Dose",IF(References!I3+References!I5=9,"As Directed",IF(References!I2-A16&gt;=1,"None","Previous Dose"))),"")</f>
        <v>Previous Dose</v>
      </c>
      <c r="F16" s="75" t="str">
        <f aca="false">IF(A16=References!I4=TRUE(),"INR + CBC at "&amp;VLOOKUP(E2,'Patient Information'!1:65535,7),"")</f>
        <v/>
      </c>
    </row>
    <row r="17" customFormat="false" ht="15.75" hidden="false" customHeight="true" outlineLevel="0" collapsed="false">
      <c r="A17" s="70" t="n">
        <f aca="false">IF(ISNA(References!I3)=TRUE(),"",IF(References!I3=10,"SURGERY "&amp;TEXT(References!I2, "m/dd/yyyy"),IF(References!I3+References!I5&gt;=10,A7+10,"")))</f>
        <v>45914</v>
      </c>
      <c r="B17" s="71" t="str">
        <f aca="false">TEXT(RIGHT(A17,9), "dddd")</f>
        <v>Sunday</v>
      </c>
      <c r="C17" s="72" t="str">
        <f aca="false">IF(References!I3+References!I5&gt;=10,IF(ISTEXT(A17)=TRUE(),"None",IF(References!I2-A17=1,IF(VLOOKUP(E2,'Patient Information'!1:65535,10)="Once",(References!L1/2)&amp;" mg (half-dose)",References!L1&amp;" mg"),References!L1&amp;" mg")),"")</f>
        <v>150 mg</v>
      </c>
      <c r="D17" s="72" t="str">
        <f aca="false">IF(References!I3+References!I5&gt;=10,IF(ISTEXT(A17)=TRUE(),"None",IF(A17+1=References!I2,"None",IF(VLOOKUP(E2,'Patient Information'!1:65535,10)="Twice",VLOOKUP(E2,'Patient Information'!1:65535,9)&amp;" mg","None"))),"")</f>
        <v>None</v>
      </c>
      <c r="E17" s="72" t="str">
        <f aca="false">IF(References!I3+References!I5&gt;=10,IF(ISTEXT(A16)=TRUE(),"Previous Dose",IF(References!I3+References!I5=10,"As Directed",IF(References!I2-A17&gt;=1,"None","Previous Dose"))),"")</f>
        <v>Previous Dose</v>
      </c>
      <c r="F17" s="72" t="str">
        <f aca="false">IF(A17=References!I4=TRUE(),"INR + CBC at "&amp;VLOOKUP(E2,'Patient Information'!1:65535,7),"")</f>
        <v/>
      </c>
    </row>
    <row r="18" customFormat="false" ht="15.75" hidden="false" customHeight="true" outlineLevel="0" collapsed="false">
      <c r="A18" s="73" t="n">
        <f aca="false">IF(ISNA(References!I3)=TRUE(),"",IF(References!I3=11,"SURGERY "&amp;TEXT(References!I2,"m/dd/yyyy"),IF(References!I3+References!I5&gt;=11,A7+11,"")))</f>
        <v>45915</v>
      </c>
      <c r="B18" s="74" t="str">
        <f aca="false">TEXT(RIGHT(A18,9), "dddd")</f>
        <v>Monday</v>
      </c>
      <c r="C18" s="75" t="str">
        <f aca="false">IF(References!I3+References!I5&gt;=11,IF(ISTEXT(A18)=TRUE(),"None",IF(References!I2-A18=1,IF(VLOOKUP(E2,'Patient Information'!1:65535,10)="Once",(References!L1/2)&amp;" mg (half-dose)",References!L1&amp;" mg"),References!L1&amp;" mg")),"")</f>
        <v>150 mg</v>
      </c>
      <c r="D18" s="75" t="str">
        <f aca="false">IF(References!I3+References!I5&gt;=11,IF(ISTEXT(A18)=TRUE(),"None",IF(A18+1=References!I2,"None",IF(VLOOKUP(E2,'Patient Information'!1:65535,10)="Twice",VLOOKUP(E2,'Patient Information'!1:65535,9)&amp;" mg","None"))),"")</f>
        <v>None</v>
      </c>
      <c r="E18" s="75" t="str">
        <f aca="false">IF(References!I3+References!I5&gt;=11,IF(ISTEXT(A18)=TRUE(),"Previous Dose",IF(References!I3+References!I5=11,"As Directed",IF(References!I2-A18&gt;=1,"None","Previous Dose"))),"")</f>
        <v>As Directed</v>
      </c>
      <c r="F18" s="75" t="str">
        <f aca="false">IF(A18=References!I4=TRUE(),"INR + CBC at "&amp;VLOOKUP(E2,'Patient Information'!1:65535,7),"")</f>
        <v>INR + CBC at KLHC</v>
      </c>
    </row>
    <row r="19" customFormat="false" ht="15.75" hidden="false" customHeight="true" outlineLevel="0" collapsed="false">
      <c r="A19" s="70" t="str">
        <f aca="false">IF(ISNA(References!I3)=TRUE(),"",IF(References!I3=12,"SURGERY "&amp;TEXT(References!I2, "m/dd/yyyy"),IF(References!I3+References!I5&gt;=12,A7+12,"")))</f>
        <v/>
      </c>
      <c r="B19" s="71" t="str">
        <f aca="false">TEXT(RIGHT(A19,9), "dddd")</f>
        <v/>
      </c>
      <c r="C19" s="72" t="str">
        <f aca="false">IF(References!I3+References!I5&gt;=12,IF(ISTEXT(A19)=TRUE(),"None",IF(References!I2-A19=1,IF(VLOOKUP(E2,'Patient Information'!1:65535,10)="Once",(References!L1/2)&amp;" mg (half-dose)",References!L1&amp;" mg"),References!L1&amp;" mg")),"")</f>
        <v/>
      </c>
      <c r="D19" s="72" t="str">
        <f aca="false">IF(References!I3+References!I5&gt;=12,IF(ISTEXT(A19)=TRUE(),"None",IF(A19+1=References!I2,"None",IF(VLOOKUP(E2,'Patient Information'!1:65535,10)="Twice",VLOOKUP(E2,'Patient Information'!1:65535,9)&amp;" mg","None"))),"")</f>
        <v/>
      </c>
      <c r="E19" s="72" t="str">
        <f aca="false">IF(References!I3+References!I5&gt;=12,IF(ISTEXT(A19)=TRUE(),"Previous Dose",IF(References!I3+References!I5=12,"As Directed",IF(References!I2-A19&gt;=1,"None","Previous Dose"))),"")</f>
        <v/>
      </c>
      <c r="F19" s="72" t="str">
        <f aca="false">IF(A19=References!I4=TRUE(),"INR + CBC at "&amp;VLOOKUP(E2,'Patient Information'!1:65535,7),"")</f>
        <v/>
      </c>
    </row>
    <row r="20" customFormat="false" ht="15.75" hidden="false" customHeight="true" outlineLevel="0" collapsed="false">
      <c r="A20" s="73" t="str">
        <f aca="false">IF(ISNA(References!I3)=TRUE(),"",IF(References!I3=13,"SURGERY "&amp;TEXT(References!I2, "m/dd/yyyy"),IF(References!I3+References!I5&gt;=13,A7+13,"")))</f>
        <v/>
      </c>
      <c r="B20" s="74" t="str">
        <f aca="false">TEXT(RIGHT(A20,9), "dddd")</f>
        <v/>
      </c>
      <c r="C20" s="75" t="str">
        <f aca="false">IF(References!I3+References!I5&gt;=13,IF(ISTEXT(A20)=TRUE(),"None",IF(References!I2-A20=1,IF(VLOOKUP(E2,'Patient Information'!1:65535,10)="Once",(References!L1/2)&amp;" mg (half-dose)",References!L1&amp;" mg"),References!L1&amp;" mg")),"")</f>
        <v/>
      </c>
      <c r="D20" s="75" t="str">
        <f aca="false">IF(References!I3+References!I5&gt;=13,IF(ISTEXT(A20)=TRUE(),"None",IF(A20+1=References!I2,"None",IF(VLOOKUP(E2,'Patient Information'!1:65535,10)="Twice",VLOOKUP(E2,'Patient Information'!1:65535,9)&amp;" mg","None"))),"")</f>
        <v/>
      </c>
      <c r="E20" s="75" t="str">
        <f aca="false">IF(References!I3+References!I5&gt;=13,IF(ISTEXT(A20)=TRUE(),"Previous Dose",IF(References!I3+References!I5=13,"As Directed",IF(References!I2-A20&gt;=1,"None","Previous Dose"))),"")</f>
        <v/>
      </c>
      <c r="F20" s="75" t="str">
        <f aca="false">IF(A20=References!I4=TRUE(),"INR + CBC at "&amp;VLOOKUP(E2,'Patient Information'!1:65535,7),"")</f>
        <v/>
      </c>
    </row>
    <row r="21" customFormat="false" ht="15.75" hidden="false" customHeight="true" outlineLevel="0" collapsed="false">
      <c r="A21" s="76" t="s">
        <v>114</v>
      </c>
      <c r="B21" s="76"/>
      <c r="C21" s="76"/>
      <c r="D21" s="76"/>
      <c r="E21" s="76"/>
      <c r="F21" s="76"/>
    </row>
    <row r="22" customFormat="false" ht="15.75" hidden="false" customHeight="true" outlineLevel="0" collapsed="false">
      <c r="A22" s="77"/>
      <c r="B22" s="77"/>
      <c r="C22" s="78"/>
      <c r="D22" s="78"/>
      <c r="E22" s="78"/>
      <c r="F22" s="78"/>
    </row>
    <row r="23" customFormat="false" ht="15.75" hidden="false" customHeight="true" outlineLevel="0" collapsed="false">
      <c r="A23" s="76" t="str">
        <f aca="false">IF(References!L1=References!L2=TRUE(),"**Lovenox does come in "&amp;References!L1&amp;"mg, they will be dispensed in "&amp;VLOOKUP(References!L1,References!H8:I14,2,FALSE())&amp;" mL syringes - Ask the pharmacist at the pharmacy to show you the "&amp;VLOOKUP(References!L1,References!H8:I14,2)&amp;"mL syringe","**Lovenox syringes do not come in "&amp;References!L1&amp;"mg, they will be dispensed in "&amp;References!L2&amp;"mg syringes - you will only use part of the syringe for each injection: "&amp;ROUND(References!L1*VLOOKUP(References!L2,References!H8:I14,2)/References!L2,2)&amp;"mL - Ask the pharmacist at the pharmacy to show you how much "&amp;ROUND(References!L1*VLOOKUP(References!L2,References!H8:I14,2)/References!L2,2)&amp;" mL is on the syringe.")</f>
        <v>**Lovenox does come in 150mg, they will be dispensed in 1 mL syringes - Ask the pharmacist at the pharmacy to show you the 1mL syringe</v>
      </c>
      <c r="B23" s="76"/>
      <c r="C23" s="76"/>
      <c r="D23" s="76"/>
      <c r="E23" s="76"/>
      <c r="F23" s="76"/>
    </row>
    <row r="24" customFormat="false" ht="15.75" hidden="false" customHeight="true" outlineLevel="0" collapsed="false">
      <c r="A24" s="76"/>
      <c r="B24" s="76"/>
      <c r="C24" s="76"/>
      <c r="D24" s="76"/>
      <c r="E24" s="76"/>
      <c r="F24" s="76"/>
    </row>
    <row r="25" customFormat="false" ht="15.75" hidden="false" customHeight="true" outlineLevel="0" collapsed="false">
      <c r="A25" s="76"/>
      <c r="B25" s="76"/>
      <c r="C25" s="76"/>
      <c r="D25" s="76"/>
      <c r="E25" s="76"/>
      <c r="F25" s="76"/>
    </row>
    <row r="26" customFormat="false" ht="15.75" hidden="false" customHeight="true" outlineLevel="0" collapsed="false">
      <c r="A26" s="76"/>
      <c r="B26" s="76"/>
      <c r="C26" s="76"/>
      <c r="D26" s="76"/>
      <c r="E26" s="76"/>
      <c r="F26" s="76"/>
    </row>
    <row r="27" customFormat="false" ht="15.75" hidden="false" customHeight="true" outlineLevel="0" collapsed="false">
      <c r="A27" s="79" t="str">
        <f aca="false">"Prepared by "&amp;VLOOKUP(E2,'Patient Information'!1:65535,12)</f>
        <v>Prepared by Andrew Tran, PharmD</v>
      </c>
      <c r="B27" s="79"/>
      <c r="C27" s="79"/>
      <c r="D27" s="79"/>
      <c r="E27" s="79"/>
      <c r="F27" s="78"/>
    </row>
    <row r="28" customFormat="false" ht="15.75" hidden="false" customHeight="true" outlineLevel="0" collapsed="false">
      <c r="A28" s="80"/>
      <c r="B28" s="80"/>
      <c r="C28" s="81"/>
      <c r="D28" s="81"/>
      <c r="E28" s="81"/>
      <c r="F28" s="81"/>
    </row>
    <row r="29" customFormat="false" ht="15.75" hidden="false" customHeight="true" outlineLevel="0" collapsed="false">
      <c r="A29" s="82"/>
      <c r="B29" s="82"/>
      <c r="C29" s="81"/>
      <c r="D29" s="81"/>
      <c r="E29" s="81"/>
      <c r="F29" s="81"/>
    </row>
    <row r="30" customFormat="false" ht="15.75" hidden="false" customHeight="true" outlineLevel="0" collapsed="false">
      <c r="A30" s="82"/>
      <c r="B30" s="82"/>
      <c r="C30" s="81"/>
      <c r="D30" s="81"/>
      <c r="E30" s="81"/>
      <c r="F30" s="81"/>
    </row>
    <row r="31" customFormat="false" ht="15.75" hidden="false" customHeight="true" outlineLevel="0" collapsed="false">
      <c r="A31" s="83"/>
      <c r="B31" s="59"/>
    </row>
    <row r="32" customFormat="false" ht="15.75" hidden="false" customHeight="true" outlineLevel="0" collapsed="false">
      <c r="A32" s="80"/>
      <c r="B32" s="59"/>
    </row>
    <row r="33" customFormat="false" ht="15.75" hidden="false" customHeight="true" outlineLevel="0" collapsed="false">
      <c r="A33" s="83"/>
      <c r="B33" s="59"/>
    </row>
    <row r="34" customFormat="false" ht="15.75" hidden="false" customHeight="true" outlineLevel="0" collapsed="false">
      <c r="A34" s="80"/>
    </row>
  </sheetData>
  <sheetProtection sheet="true"/>
  <mergeCells count="7">
    <mergeCell ref="A3:F3"/>
    <mergeCell ref="A5:A6"/>
    <mergeCell ref="B5:B6"/>
    <mergeCell ref="C5:D5"/>
    <mergeCell ref="A21:F21"/>
    <mergeCell ref="A23:F26"/>
    <mergeCell ref="A27:E27"/>
  </mergeCells>
  <conditionalFormatting sqref="A7:F20">
    <cfRule type="expression" priority="2" aboveAverage="0" equalAverage="0" bottom="0" percent="0" rank="0" text="" dxfId="6">
      <formula>LEFT($A7,7)="SURGERY"</formula>
    </cfRule>
  </conditionalFormatting>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6" activeCellId="0" sqref="C36"/>
    </sheetView>
  </sheetViews>
  <sheetFormatPr defaultColWidth="8.83203125" defaultRowHeight="15" customHeight="false" zeroHeight="false" outlineLevelRow="0" outlineLevelCol="0"/>
  <cols>
    <col collapsed="false" customWidth="true" hidden="false" outlineLevel="0" max="2" min="1" style="84" width="20.16"/>
    <col collapsed="false" customWidth="true" hidden="false" outlineLevel="0" max="4" min="4" style="84" width="14.52"/>
    <col collapsed="false" customWidth="true" hidden="false" outlineLevel="0" max="8" min="8" style="84" width="19"/>
    <col collapsed="false" customWidth="true" hidden="false" outlineLevel="0" max="9" min="9" style="84" width="10.16"/>
    <col collapsed="false" customWidth="true" hidden="false" outlineLevel="0" max="10" min="10" style="84" width="5.52"/>
    <col collapsed="false" customWidth="true" hidden="false" outlineLevel="0" max="11" min="11" style="84" width="13.5"/>
    <col collapsed="false" customWidth="true" hidden="false" outlineLevel="0" max="12" min="12" style="84" width="4.5"/>
  </cols>
  <sheetData>
    <row r="1" customFormat="false" ht="15.75" hidden="false" customHeight="true" outlineLevel="0" collapsed="false">
      <c r="A1" s="85" t="s">
        <v>115</v>
      </c>
      <c r="B1" s="85" t="s">
        <v>116</v>
      </c>
      <c r="D1" s="85" t="s">
        <v>67</v>
      </c>
      <c r="F1" s="86" t="s">
        <v>94</v>
      </c>
      <c r="H1" s="85" t="s">
        <v>117</v>
      </c>
      <c r="I1" s="85" t="n">
        <f aca="false">IF(VLOOKUP('Bridge Plan Printout'!E2,'Patient Information'!1:65535,10)="Twice",VLOOKUP('Bridge Plan Printout'!E2,'Patient Information'!1:65535,9)*2,VLOOKUP('Bridge Plan Printout'!E2,'Patient Information'!1:65535,9))</f>
        <v>150</v>
      </c>
      <c r="J1" s="87"/>
      <c r="K1" s="85" t="s">
        <v>118</v>
      </c>
      <c r="L1" s="85" t="n">
        <f aca="false">VLOOKUP('Bridge Plan Printout'!E2,'Patient Information'!1:65535,9)</f>
        <v>150</v>
      </c>
    </row>
    <row r="2" customFormat="false" ht="15.75" hidden="false" customHeight="true" outlineLevel="0" collapsed="false">
      <c r="A2" s="88" t="n">
        <v>0</v>
      </c>
      <c r="B2" s="88" t="n">
        <v>30</v>
      </c>
      <c r="D2" s="88" t="s">
        <v>119</v>
      </c>
      <c r="F2" s="89" t="s">
        <v>120</v>
      </c>
      <c r="H2" s="88" t="s">
        <v>121</v>
      </c>
      <c r="I2" s="90" t="n">
        <f aca="false">VLOOKUP('Bridge Plan Printout'!E2,'Patient Information'!1:65535,5)</f>
        <v>45905</v>
      </c>
      <c r="J2" s="91"/>
      <c r="K2" s="88" t="s">
        <v>122</v>
      </c>
      <c r="L2" s="88" t="n">
        <f aca="false">VLOOKUP('Bridge Plan Printout'!E2,'Patient Information'!1:65535,11)</f>
        <v>150</v>
      </c>
    </row>
    <row r="3" customFormat="false" ht="15.75" hidden="false" customHeight="true" outlineLevel="0" collapsed="false">
      <c r="A3" s="88" t="n">
        <v>31</v>
      </c>
      <c r="B3" s="88" t="n">
        <v>40</v>
      </c>
      <c r="D3" s="88" t="s">
        <v>123</v>
      </c>
      <c r="H3" s="88" t="s">
        <v>124</v>
      </c>
      <c r="I3" s="88" t="n">
        <f aca="false">VLOOKUP('Bridge Plan Printout'!E2,'Patient Information'!1:65535,5)-VLOOKUP('Bridge Plan Printout'!E2,'Patient Information'!1:65535,4)</f>
        <v>1</v>
      </c>
      <c r="J3" s="58"/>
      <c r="K3" s="58"/>
      <c r="L3" s="58"/>
    </row>
    <row r="4" customFormat="false" ht="15.75" hidden="false" customHeight="true" outlineLevel="0" collapsed="false">
      <c r="A4" s="88" t="n">
        <v>41</v>
      </c>
      <c r="B4" s="88" t="n">
        <v>60</v>
      </c>
      <c r="H4" s="88" t="s">
        <v>125</v>
      </c>
      <c r="I4" s="90" t="n">
        <f aca="false">VLOOKUP('Bridge Plan Printout'!E2,'Patient Information'!1:65535,6)</f>
        <v>45915</v>
      </c>
      <c r="J4" s="92"/>
      <c r="K4" s="58"/>
      <c r="L4" s="58"/>
    </row>
    <row r="5" customFormat="false" ht="15.75" hidden="false" customHeight="true" outlineLevel="0" collapsed="false">
      <c r="A5" s="88" t="n">
        <v>61</v>
      </c>
      <c r="B5" s="88" t="n">
        <v>80</v>
      </c>
      <c r="H5" s="88" t="s">
        <v>126</v>
      </c>
      <c r="I5" s="93" t="n">
        <f aca="false">VLOOKUP('Bridge Plan Printout'!E2,'Patient Information'!1:65535,6)-VLOOKUP('Bridge Plan Printout'!E2,'Patient Information'!1:65535,5)</f>
        <v>10</v>
      </c>
      <c r="J5" s="94"/>
      <c r="K5" s="58"/>
      <c r="L5" s="58"/>
    </row>
    <row r="6" customFormat="false" ht="15.75" hidden="false" customHeight="true" outlineLevel="0" collapsed="false">
      <c r="A6" s="88" t="n">
        <v>81</v>
      </c>
      <c r="B6" s="88" t="n">
        <v>100</v>
      </c>
      <c r="H6" s="58"/>
      <c r="I6" s="58"/>
      <c r="J6" s="58"/>
      <c r="K6" s="58"/>
      <c r="L6" s="58"/>
    </row>
    <row r="7" customFormat="false" ht="15.75" hidden="false" customHeight="true" outlineLevel="0" collapsed="false">
      <c r="A7" s="88" t="n">
        <v>101</v>
      </c>
      <c r="B7" s="88" t="n">
        <v>120</v>
      </c>
      <c r="H7" s="88" t="s">
        <v>127</v>
      </c>
      <c r="I7" s="88" t="s">
        <v>128</v>
      </c>
      <c r="J7" s="58"/>
      <c r="K7" s="58"/>
      <c r="L7" s="58"/>
    </row>
    <row r="8" customFormat="false" ht="15.75" hidden="false" customHeight="true" outlineLevel="0" collapsed="false">
      <c r="A8" s="88" t="n">
        <v>121</v>
      </c>
      <c r="B8" s="88" t="n">
        <v>150</v>
      </c>
      <c r="H8" s="88" t="n">
        <v>30</v>
      </c>
      <c r="I8" s="88" t="n">
        <v>0.3</v>
      </c>
      <c r="J8" s="58"/>
      <c r="K8" s="58"/>
      <c r="L8" s="58"/>
    </row>
    <row r="9" customFormat="false" ht="15.75" hidden="false" customHeight="true" outlineLevel="0" collapsed="false">
      <c r="A9" s="88" t="n">
        <v>151</v>
      </c>
      <c r="B9" s="88" t="n">
        <v>300</v>
      </c>
      <c r="H9" s="88" t="n">
        <v>40</v>
      </c>
      <c r="I9" s="88" t="n">
        <v>0.4</v>
      </c>
      <c r="J9" s="58"/>
      <c r="K9" s="58"/>
      <c r="L9" s="58"/>
    </row>
    <row r="10" customFormat="false" ht="15.75" hidden="false" customHeight="true" outlineLevel="0" collapsed="false">
      <c r="H10" s="88" t="n">
        <v>60</v>
      </c>
      <c r="I10" s="88" t="n">
        <v>0.6</v>
      </c>
      <c r="J10" s="58"/>
      <c r="K10" s="58"/>
      <c r="L10" s="58"/>
    </row>
    <row r="11" customFormat="false" ht="15.75" hidden="false" customHeight="true" outlineLevel="0" collapsed="false">
      <c r="H11" s="88" t="n">
        <v>80</v>
      </c>
      <c r="I11" s="88" t="n">
        <v>0.8</v>
      </c>
      <c r="J11" s="58"/>
      <c r="K11" s="58"/>
      <c r="L11" s="58"/>
    </row>
    <row r="12" customFormat="false" ht="15.75" hidden="false" customHeight="true" outlineLevel="0" collapsed="false">
      <c r="H12" s="88" t="n">
        <v>100</v>
      </c>
      <c r="I12" s="88" t="n">
        <v>1</v>
      </c>
      <c r="J12" s="58"/>
      <c r="K12" s="58"/>
      <c r="L12" s="58"/>
    </row>
    <row r="13" customFormat="false" ht="15.75" hidden="false" customHeight="true" outlineLevel="0" collapsed="false">
      <c r="H13" s="88" t="n">
        <v>120</v>
      </c>
      <c r="I13" s="88" t="n">
        <v>0.8</v>
      </c>
      <c r="J13" s="58"/>
      <c r="K13" s="58"/>
      <c r="L13" s="58"/>
    </row>
    <row r="14" customFormat="false" ht="15.75" hidden="false" customHeight="true" outlineLevel="0" collapsed="false">
      <c r="H14" s="88" t="n">
        <v>150</v>
      </c>
      <c r="I14" s="88" t="n">
        <v>1</v>
      </c>
      <c r="J14" s="58"/>
      <c r="K14" s="58"/>
      <c r="L14" s="58"/>
    </row>
  </sheetData>
  <sheetProtection sheet="true"/>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2024-07-23T19:24:35Z</dcterms:created>
  <dc:creator>Lewis, Jonathan M</dc:creator>
  <dc:description/>
  <dc:language>en-US</dc:language>
  <cp:lastModifiedBy>Andrew Tran</cp:lastModifiedBy>
  <dcterms:modified xsi:type="dcterms:W3CDTF">2026-08-04T22:37:32Z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0x010100D69A41DE3A9E6041A9CA94F3DD85C862</vt:lpwstr>
  </property>
</Properties>
</file>