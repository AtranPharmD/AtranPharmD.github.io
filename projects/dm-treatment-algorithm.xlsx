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A80F" lockStructure="1"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tient Information" sheetId="2" state="visible" r:id="rId2"/>
    <sheet xmlns:r="http://schemas.openxmlformats.org/officeDocument/2006/relationships" name="DM Medications" sheetId="3" state="visible" r:id="rId3"/>
    <sheet xmlns:r="http://schemas.openxmlformats.org/officeDocument/2006/relationships" name="Insulin " sheetId="4" state="visible" r:id="rId4"/>
    <sheet xmlns:r="http://schemas.openxmlformats.org/officeDocument/2006/relationships" name="SMB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FFFFFF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A1A1A"/>
      <sz val="10"/>
    </font>
    <font>
      <name val="Arial"/>
      <charset val="1"/>
      <family val="2"/>
      <color rgb="FF1A1A1A"/>
      <sz val="10"/>
    </font>
    <font>
      <name val="Arial"/>
      <charset val="1"/>
      <family val="2"/>
      <b val="1"/>
      <i val="1"/>
      <color rgb="FF9C0006"/>
      <sz val="10"/>
    </font>
    <font>
      <name val="Arial"/>
      <charset val="1"/>
      <family val="2"/>
      <b val="1"/>
      <color rgb="FF1F4E78"/>
      <sz val="10"/>
    </font>
    <font>
      <name val="Calibri"/>
      <charset val="1"/>
      <family val="2"/>
      <color theme="1"/>
      <sz val="18"/>
    </font>
    <font>
      <name val="Arial"/>
      <charset val="1"/>
      <family val="2"/>
      <b val="1"/>
      <i val="1"/>
      <color rgb="FF9C0006"/>
      <sz val="9"/>
    </font>
    <font>
      <name val="Arial"/>
      <charset val="1"/>
      <family val="2"/>
      <b val="1"/>
      <color rgb="FF9C0006"/>
      <sz val="10"/>
    </font>
    <font>
      <name val="Arial"/>
      <charset val="1"/>
      <family val="2"/>
      <i val="1"/>
      <color rgb="FF808080"/>
      <sz val="8"/>
    </font>
    <font>
      <name val="Arial"/>
      <charset val="1"/>
      <family val="2"/>
      <b val="1"/>
      <color rgb="FF1F6B3C"/>
      <sz val="10"/>
    </font>
    <font>
      <name val="Arial"/>
      <charset val="1"/>
      <family val="2"/>
      <color rgb="FF1F6B3C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i val="1"/>
      <color rgb="FF808080"/>
      <sz val="9"/>
    </font>
    <font>
      <name val="Calibri"/>
      <charset val="1"/>
      <family val="2"/>
      <b val="1"/>
      <color theme="1"/>
      <sz val="18"/>
    </font>
    <font>
      <name val="Calibri"/>
      <charset val="1"/>
      <family val="2"/>
      <color theme="1"/>
      <sz val="14"/>
    </font>
    <font>
      <name val="Arial"/>
      <charset val="1"/>
      <family val="2"/>
      <color rgb="FF9C0006"/>
      <sz val="10"/>
    </font>
    <font>
      <name val="Arial"/>
      <charset val="1"/>
      <family val="2"/>
      <i val="1"/>
      <color rgb="FF595959"/>
      <sz val="8"/>
    </font>
  </fonts>
  <fills count="1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DE9D9"/>
        <bgColor rgb="FFFDEDEC"/>
      </patternFill>
    </fill>
    <fill>
      <patternFill patternType="solid">
        <fgColor rgb="FFF7F9FB"/>
        <bgColor rgb="FFFFFFFF"/>
      </patternFill>
    </fill>
    <fill>
      <patternFill patternType="solid">
        <fgColor rgb="FFFDEDEC"/>
        <bgColor rgb="FFFDE9D9"/>
      </patternFill>
    </fill>
    <fill>
      <patternFill patternType="solid">
        <fgColor rgb="FFEAF3FB"/>
        <bgColor rgb="FFE9F7EF"/>
      </patternFill>
    </fill>
    <fill>
      <patternFill patternType="solid">
        <fgColor rgb="FFE9F7EF"/>
        <bgColor rgb="FFEAF3FB"/>
      </patternFill>
    </fill>
    <fill>
      <patternFill patternType="solid">
        <fgColor rgb="FFFFFFFF"/>
        <bgColor rgb="FFF7F9FB"/>
      </patternFill>
    </fill>
    <fill>
      <patternFill patternType="solid">
        <fgColor rgb="FFFBF3DB"/>
        <bgColor rgb="FFFFF7E6"/>
      </patternFill>
    </fill>
    <fill>
      <patternFill patternType="solid">
        <fgColor rgb="FFD9E5F2"/>
        <bgColor rgb="FFD6DCE5"/>
      </patternFill>
    </fill>
    <fill>
      <patternFill patternType="solid">
        <fgColor theme="3" tint="0.7998"/>
        <bgColor rgb="FFD9E5F2"/>
      </patternFill>
    </fill>
    <fill>
      <patternFill patternType="solid">
        <fgColor rgb="FF7030A0"/>
        <bgColor rgb="FF993366"/>
      </patternFill>
    </fill>
    <fill>
      <patternFill patternType="solid">
        <fgColor rgb="FFFFF7E6"/>
        <bgColor rgb="FFFBF3DB"/>
      </patternFill>
    </fill>
    <fill>
      <patternFill patternType="solid">
        <fgColor rgb="FF1F6B3C"/>
        <bgColor rgb="FF1F4E78"/>
      </patternFill>
    </fill>
  </fills>
  <borders count="40">
    <border>
      <left/>
      <right/>
      <top/>
      <bottom/>
      <diagonal/>
    </border>
    <border>
      <left style="thin">
        <color rgb="FFB7950B"/>
      </left>
      <right/>
      <top style="thin">
        <color rgb="FFB7950B"/>
      </top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FFFF0000"/>
      </top>
      <bottom style="thin">
        <color theme="1"/>
      </bottom>
      <diagonal/>
    </border>
    <border>
      <left style="thin">
        <color rgb="FFFF0000"/>
      </left>
      <right/>
      <top/>
      <bottom/>
      <diagonal/>
    </border>
    <border>
      <left style="thin">
        <color rgb="FF1F6B3C"/>
      </left>
      <right style="thin">
        <color rgb="FF1F6B3C"/>
      </right>
      <top style="thin">
        <color rgb="FF1F6B3C"/>
      </top>
      <bottom style="thin">
        <color rgb="FF1F6B3C"/>
      </bottom>
      <diagonal/>
    </border>
    <border>
      <left style="thin">
        <color rgb="FFB7950B"/>
      </left>
      <right style="thin">
        <color rgb="FFB7950B"/>
      </right>
      <top style="thin">
        <color rgb="FFB7950B"/>
      </top>
      <bottom style="thin">
        <color rgb="FFB7950B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FF0000"/>
      </right>
      <top/>
      <bottom/>
      <diagonal/>
    </border>
    <border>
      <left/>
      <right/>
      <top style="thin">
        <color rgb="FFB7950B"/>
      </top>
      <bottom/>
      <diagonal/>
    </border>
    <border>
      <left style="thin">
        <color rgb="FFB7950B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rgb="FF1F6B3C"/>
      </top>
      <bottom/>
      <diagonal/>
    </border>
    <border>
      <left/>
      <right style="thin">
        <color rgb="FF1F6B3C"/>
      </right>
      <top style="thin">
        <color rgb="FF1F6B3C"/>
      </top>
      <bottom/>
      <diagonal/>
    </border>
    <border>
      <left/>
      <right style="thin">
        <color rgb="FF1F6B3C"/>
      </right>
      <top style="thin">
        <color rgb="FF1F6B3C"/>
      </top>
      <bottom style="thin">
        <color rgb="FF1F6B3C"/>
      </bottom>
      <diagonal/>
    </border>
    <border>
      <left/>
      <right style="thin">
        <color rgb="FFB7950B"/>
      </right>
      <top style="thin">
        <color rgb="FFB7950B"/>
      </top>
      <bottom/>
      <diagonal/>
    </border>
    <border>
      <left/>
      <right style="thin">
        <color rgb="FFB7950B"/>
      </right>
      <top style="thin">
        <color rgb="FFB7950B"/>
      </top>
      <bottom style="thin">
        <color rgb="FFB7950B"/>
      </bottom>
      <diagonal/>
    </border>
    <border>
      <left/>
      <right/>
      <top style="thin">
        <color rgb="FF2E75B6"/>
      </top>
      <bottom/>
      <diagonal/>
    </border>
    <border>
      <left/>
      <right style="thin">
        <color rgb="FF2E75B6"/>
      </right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 style="thin">
        <color rgb="FFC0392B"/>
      </top>
      <bottom/>
      <diagonal/>
    </border>
    <border>
      <left/>
      <right style="thin">
        <color rgb="FFC0392B"/>
      </right>
      <top style="thin">
        <color rgb="FFC0392B"/>
      </top>
      <bottom/>
      <diagonal/>
    </border>
    <border>
      <left/>
      <right/>
      <top style="thin">
        <color rgb="FFC0392B"/>
      </top>
      <bottom style="thin">
        <color rgb="FFC0392B"/>
      </bottom>
      <diagonal/>
    </border>
    <border>
      <left/>
      <right style="thin">
        <color rgb="FFC0392B"/>
      </right>
      <top style="thin">
        <color rgb="FFC0392B"/>
      </top>
      <bottom style="thin">
        <color rgb="FFC0392B"/>
      </bottom>
      <diagonal/>
    </border>
    <border>
      <left/>
      <right/>
      <top style="thin">
        <color rgb="FF1F6B3C"/>
      </top>
      <bottom style="thin">
        <color rgb="FF1F6B3C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2E75B6"/>
      </left>
      <right/>
      <top/>
      <bottom/>
      <diagonal/>
    </border>
    <border>
      <left style="thin">
        <color rgb="FF2E75B6"/>
      </left>
      <right style="thin">
        <color rgb="FF2E75B6"/>
      </right>
      <top/>
      <bottom/>
      <diagonal/>
    </border>
    <border>
      <left style="thin">
        <color rgb="FF2E75B6"/>
      </left>
      <right style="thin">
        <color rgb="FF2E75B6"/>
      </right>
      <top/>
      <bottom style="thin">
        <color rgb="FF2E75B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indent="1"/>
    </xf>
    <xf numFmtId="0" fontId="5" fillId="2" borderId="0" applyAlignment="1" pivotButton="0" quotePrefix="0" xfId="0">
      <alignment horizontal="general" vertical="center" indent="1"/>
    </xf>
    <xf numFmtId="0" fontId="6" fillId="3" borderId="0" applyAlignment="1" pivotButton="0" quotePrefix="0" xfId="0">
      <alignment horizontal="general" vertical="center" indent="1"/>
    </xf>
    <xf numFmtId="0" fontId="7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general" vertical="center" indent="1"/>
    </xf>
    <xf numFmtId="0" fontId="8" fillId="5" borderId="2" applyAlignment="1" pivotButton="0" quotePrefix="0" xfId="0">
      <alignment horizontal="general" vertical="center" indent="1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center" indent="1"/>
    </xf>
    <xf numFmtId="0" fontId="6" fillId="2" borderId="3" applyAlignment="1" pivotButton="0" quotePrefix="0" xfId="0">
      <alignment horizontal="general" vertical="center" indent="1"/>
    </xf>
    <xf numFmtId="0" fontId="6" fillId="2" borderId="4" applyAlignment="1" pivotButton="0" quotePrefix="0" xfId="0">
      <alignment horizontal="general" vertical="center" inden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center" indent="1"/>
    </xf>
    <xf numFmtId="0" fontId="13" fillId="6" borderId="5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general" vertical="center" wrapText="1"/>
    </xf>
    <xf numFmtId="0" fontId="10" fillId="7" borderId="7" applyAlignment="1" pivotButton="0" quotePrefix="0" xfId="0">
      <alignment horizontal="center" vertical="center"/>
    </xf>
    <xf numFmtId="2" fontId="10" fillId="7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11" fillId="0" borderId="10" applyAlignment="1" pivotButton="0" quotePrefix="0" xfId="0">
      <alignment horizontal="right" vertical="bottom"/>
    </xf>
    <xf numFmtId="0" fontId="11" fillId="0" borderId="11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center" wrapText="1" indent="1"/>
    </xf>
    <xf numFmtId="0" fontId="11" fillId="0" borderId="1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 indent="1"/>
    </xf>
    <xf numFmtId="0" fontId="14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/>
    </xf>
    <xf numFmtId="0" fontId="6" fillId="2" borderId="0" applyAlignment="1" pivotButton="0" quotePrefix="0" xfId="0">
      <alignment horizontal="general" vertical="center" indent="1"/>
    </xf>
    <xf numFmtId="0" fontId="7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15" fillId="8" borderId="13" applyAlignment="1" pivotButton="0" quotePrefix="0" xfId="0">
      <alignment horizontal="left" vertical="top" wrapText="1"/>
    </xf>
    <xf numFmtId="0" fontId="16" fillId="8" borderId="13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3" fillId="6" borderId="5" applyAlignment="1" applyProtection="1" pivotButton="0" quotePrefix="0" xfId="0">
      <alignment horizontal="left" vertical="top" wrapText="1"/>
      <protection locked="0" hidden="0"/>
    </xf>
    <xf numFmtId="0" fontId="10" fillId="7" borderId="7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general" vertical="top"/>
    </xf>
    <xf numFmtId="0" fontId="17" fillId="3" borderId="0" applyAlignment="1" pivotButton="0" quotePrefix="0" xfId="0">
      <alignment horizontal="general" vertical="center" indent="1"/>
    </xf>
    <xf numFmtId="0" fontId="8" fillId="10" borderId="14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general" vertical="center" indent="1"/>
    </xf>
    <xf numFmtId="0" fontId="10" fillId="11" borderId="0" applyAlignment="1" pivotButton="0" quotePrefix="0" xfId="0">
      <alignment horizontal="general" vertical="center" indent="1"/>
    </xf>
    <xf numFmtId="0" fontId="6" fillId="2" borderId="15" applyAlignment="1" pivotButton="0" quotePrefix="0" xfId="0">
      <alignment horizontal="general" vertical="center" indent="1"/>
    </xf>
    <xf numFmtId="0" fontId="7" fillId="0" borderId="4" applyAlignment="1" pivotButton="0" quotePrefix="0" xfId="0">
      <alignment horizontal="left" vertical="top" wrapText="1"/>
    </xf>
    <xf numFmtId="0" fontId="18" fillId="0" borderId="4" applyAlignment="1" pivotButton="0" quotePrefix="0" xfId="0">
      <alignment horizontal="center" vertical="center"/>
    </xf>
    <xf numFmtId="0" fontId="6" fillId="2" borderId="16" applyAlignment="1" pivotButton="0" quotePrefix="0" xfId="0">
      <alignment horizontal="general" vertical="center" indent="1"/>
    </xf>
    <xf numFmtId="0" fontId="18" fillId="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7" fillId="0" borderId="17" applyAlignment="1" pivotButton="0" quotePrefix="0" xfId="0">
      <alignment horizontal="left" vertical="top" wrapText="1"/>
    </xf>
    <xf numFmtId="0" fontId="11" fillId="9" borderId="0" applyAlignment="1" pivotButton="0" quotePrefix="0" xfId="0">
      <alignment horizontal="center" vertical="bottom"/>
    </xf>
    <xf numFmtId="0" fontId="10" fillId="12" borderId="0" applyAlignment="1" pivotButton="0" quotePrefix="0" xfId="0">
      <alignment horizontal="left" vertical="top" wrapText="1"/>
    </xf>
    <xf numFmtId="0" fontId="19" fillId="12" borderId="0" applyAlignment="1" pivotButton="0" quotePrefix="0" xfId="0">
      <alignment horizontal="center" vertical="bottom"/>
    </xf>
    <xf numFmtId="0" fontId="6" fillId="13" borderId="0" applyAlignment="1" pivotButton="0" quotePrefix="0" xfId="0">
      <alignment horizontal="general" vertical="center" indent="1"/>
    </xf>
    <xf numFmtId="0" fontId="20" fillId="0" borderId="0" applyAlignment="1" pivotButton="0" quotePrefix="0" xfId="0">
      <alignment horizontal="general" vertical="bottom"/>
    </xf>
    <xf numFmtId="0" fontId="7" fillId="11" borderId="4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 wrapText="1"/>
    </xf>
    <xf numFmtId="0" fontId="21" fillId="6" borderId="2" applyAlignment="1" applyProtection="1" pivotButton="0" quotePrefix="0" xfId="0">
      <alignment horizontal="center" vertical="center"/>
      <protection locked="0" hidden="0"/>
    </xf>
    <xf numFmtId="0" fontId="7" fillId="14" borderId="2" applyAlignment="1" pivotButton="0" quotePrefix="0" xfId="0">
      <alignment horizontal="general" vertical="center" indent="1"/>
    </xf>
    <xf numFmtId="0" fontId="8" fillId="14" borderId="2" applyAlignment="1" pivotButton="0" quotePrefix="0" xfId="0">
      <alignment horizontal="center" vertical="center"/>
    </xf>
    <xf numFmtId="0" fontId="22" fillId="0" borderId="4" applyAlignment="1" pivotButton="0" quotePrefix="0" xfId="0">
      <alignment horizontal="left" vertical="top" wrapText="1"/>
    </xf>
    <xf numFmtId="0" fontId="7" fillId="11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general" vertical="center" indent="1"/>
    </xf>
    <xf numFmtId="0" fontId="21" fillId="6" borderId="5" applyAlignment="1" applyProtection="1" pivotButton="0" quotePrefix="0" xfId="0">
      <alignment horizontal="center" vertical="center"/>
      <protection locked="0" hidden="0"/>
    </xf>
    <xf numFmtId="0" fontId="6" fillId="15" borderId="0" applyAlignment="1" pivotButton="0" quotePrefix="0" xfId="0">
      <alignment horizontal="general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indent="1"/>
    </xf>
    <xf numFmtId="0" fontId="5" fillId="2" borderId="0" applyAlignment="1" pivotButton="0" quotePrefix="0" xfId="0">
      <alignment horizontal="general" vertical="center" indent="1"/>
    </xf>
    <xf numFmtId="0" fontId="6" fillId="3" borderId="0" applyAlignment="1" pivotButton="0" quotePrefix="0" xfId="0">
      <alignment horizontal="general" vertical="center" indent="1"/>
    </xf>
    <xf numFmtId="0" fontId="7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19" pivotButton="0" quotePrefix="0" xfId="0"/>
    <xf numFmtId="0" fontId="10" fillId="5" borderId="2" applyAlignment="1" pivotButton="0" quotePrefix="0" xfId="0">
      <alignment horizontal="general" vertical="center" indent="1"/>
    </xf>
    <xf numFmtId="0" fontId="8" fillId="5" borderId="2" applyAlignment="1" pivotButton="0" quotePrefix="0" xfId="0">
      <alignment horizontal="general" vertical="center" indent="1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center" indent="1"/>
    </xf>
    <xf numFmtId="0" fontId="6" fillId="2" borderId="3" applyAlignment="1" pivotButton="0" quotePrefix="0" xfId="0">
      <alignment horizontal="general" vertical="center" indent="1"/>
    </xf>
    <xf numFmtId="0" fontId="0" fillId="0" borderId="20" pivotButton="0" quotePrefix="0" xfId="0"/>
    <xf numFmtId="0" fontId="6" fillId="2" borderId="4" applyAlignment="1" pivotButton="0" quotePrefix="0" xfId="0">
      <alignment horizontal="general" vertical="center" inden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center" indent="1"/>
    </xf>
    <xf numFmtId="0" fontId="13" fillId="6" borderId="5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general" vertical="center" wrapText="1"/>
    </xf>
    <xf numFmtId="0" fontId="10" fillId="7" borderId="7" applyAlignment="1" pivotButton="0" quotePrefix="0" xfId="0">
      <alignment horizontal="center" vertical="center"/>
    </xf>
    <xf numFmtId="2" fontId="10" fillId="7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11" fillId="0" borderId="10" applyAlignment="1" pivotButton="0" quotePrefix="0" xfId="0">
      <alignment horizontal="right" vertical="bottom"/>
    </xf>
    <xf numFmtId="0" fontId="11" fillId="0" borderId="11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center" wrapText="1" indent="1"/>
    </xf>
    <xf numFmtId="0" fontId="11" fillId="0" borderId="1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 indent="1"/>
    </xf>
    <xf numFmtId="0" fontId="14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/>
    </xf>
    <xf numFmtId="0" fontId="6" fillId="2" borderId="0" applyAlignment="1" pivotButton="0" quotePrefix="0" xfId="0">
      <alignment horizontal="general" vertical="center" indent="1"/>
    </xf>
    <xf numFmtId="0" fontId="7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15" fillId="8" borderId="13" applyAlignment="1" pivotButton="0" quotePrefix="0" xfId="0">
      <alignment horizontal="left" vertical="top" wrapText="1"/>
    </xf>
    <xf numFmtId="0" fontId="16" fillId="8" borderId="13" applyAlignment="1" pivotButton="0" quotePrefix="0" xfId="0">
      <alignment horizontal="left" vertical="top" wrapText="1"/>
    </xf>
    <xf numFmtId="0" fontId="0" fillId="0" borderId="23" pivotButton="0" quotePrefix="0" xfId="0"/>
    <xf numFmtId="0" fontId="13" fillId="6" borderId="5" applyAlignment="1" applyProtection="1" pivotButton="0" quotePrefix="0" xfId="0">
      <alignment horizontal="left" vertical="top" wrapText="1"/>
      <protection locked="0" hidden="0"/>
    </xf>
    <xf numFmtId="0" fontId="10" fillId="7" borderId="7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top"/>
    </xf>
    <xf numFmtId="0" fontId="17" fillId="3" borderId="0" applyAlignment="1" pivotButton="0" quotePrefix="0" xfId="0">
      <alignment horizontal="general" vertical="center" indent="1"/>
    </xf>
    <xf numFmtId="0" fontId="8" fillId="10" borderId="14" applyAlignment="1" pivotButton="0" quotePrefix="0" xfId="0">
      <alignment horizontal="left" vertical="top" wrapText="1"/>
    </xf>
    <xf numFmtId="0" fontId="0" fillId="0" borderId="25" pivotButton="0" quotePrefix="0" xfId="0"/>
    <xf numFmtId="0" fontId="14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general" vertical="center" indent="1"/>
    </xf>
    <xf numFmtId="0" fontId="10" fillId="11" borderId="0" applyAlignment="1" pivotButton="0" quotePrefix="0" xfId="0">
      <alignment horizontal="general" vertical="center" indent="1"/>
    </xf>
    <xf numFmtId="0" fontId="0" fillId="0" borderId="28" pivotButton="0" quotePrefix="0" xfId="0"/>
    <xf numFmtId="0" fontId="0" fillId="0" borderId="29" pivotButton="0" quotePrefix="0" xfId="0"/>
    <xf numFmtId="0" fontId="6" fillId="2" borderId="15" applyAlignment="1" pivotButton="0" quotePrefix="0" xfId="0">
      <alignment horizontal="general" vertical="center" indent="1"/>
    </xf>
    <xf numFmtId="0" fontId="0" fillId="0" borderId="15" pivotButton="0" quotePrefix="0" xfId="0"/>
    <xf numFmtId="0" fontId="7" fillId="0" borderId="4" applyAlignment="1" pivotButton="0" quotePrefix="0" xfId="0">
      <alignment horizontal="left" vertical="top" wrapText="1"/>
    </xf>
    <xf numFmtId="0" fontId="18" fillId="0" borderId="4" applyAlignment="1" pivotButton="0" quotePrefix="0" xfId="0">
      <alignment horizontal="center" vertical="center"/>
    </xf>
    <xf numFmtId="0" fontId="6" fillId="2" borderId="16" applyAlignment="1" pivotButton="0" quotePrefix="0" xfId="0">
      <alignment horizontal="general" vertical="center" indent="1"/>
    </xf>
    <xf numFmtId="0" fontId="0" fillId="0" borderId="16" pivotButton="0" quotePrefix="0" xfId="0"/>
    <xf numFmtId="0" fontId="18" fillId="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7" fillId="0" borderId="17" applyAlignment="1" pivotButton="0" quotePrefix="0" xfId="0">
      <alignment horizontal="left" vertical="top" wrapText="1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11" fillId="9" borderId="0" applyAlignment="1" pivotButton="0" quotePrefix="0" xfId="0">
      <alignment horizontal="center" vertical="bottom"/>
    </xf>
    <xf numFmtId="0" fontId="10" fillId="12" borderId="0" applyAlignment="1" pivotButton="0" quotePrefix="0" xfId="0">
      <alignment horizontal="left" vertical="top" wrapText="1"/>
    </xf>
    <xf numFmtId="0" fontId="19" fillId="12" borderId="0" applyAlignment="1" pivotButton="0" quotePrefix="0" xfId="0">
      <alignment horizontal="center" vertical="bottom"/>
    </xf>
    <xf numFmtId="0" fontId="6" fillId="13" borderId="0" applyAlignment="1" pivotButton="0" quotePrefix="0" xfId="0">
      <alignment horizontal="general" vertical="center" indent="1"/>
    </xf>
    <xf numFmtId="0" fontId="0" fillId="0" borderId="34" pivotButton="0" quotePrefix="0" xfId="0"/>
    <xf numFmtId="0" fontId="20" fillId="0" borderId="0" applyAlignment="1" pivotButton="0" quotePrefix="0" xfId="0">
      <alignment horizontal="general" vertical="bottom"/>
    </xf>
    <xf numFmtId="0" fontId="7" fillId="11" borderId="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35" pivotButton="0" quotePrefix="0" xfId="0"/>
    <xf numFmtId="0" fontId="7" fillId="5" borderId="6" applyAlignment="1" pivotButton="0" quotePrefix="0" xfId="0">
      <alignment horizontal="center" vertical="center" wrapText="1"/>
    </xf>
    <xf numFmtId="0" fontId="21" fillId="6" borderId="2" applyAlignment="1" applyProtection="1" pivotButton="0" quotePrefix="0" xfId="0">
      <alignment horizontal="center" vertical="center"/>
      <protection locked="0" hidden="0"/>
    </xf>
    <xf numFmtId="0" fontId="7" fillId="14" borderId="2" applyAlignment="1" pivotButton="0" quotePrefix="0" xfId="0">
      <alignment horizontal="general" vertical="center" indent="1"/>
    </xf>
    <xf numFmtId="0" fontId="8" fillId="14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8" pivotButton="0" quotePrefix="0" xfId="0"/>
    <xf numFmtId="0" fontId="0" fillId="0" borderId="36" pivotButton="0" quotePrefix="0" xfId="0"/>
    <xf numFmtId="0" fontId="0" fillId="0" borderId="39" pivotButton="0" quotePrefix="0" xfId="0"/>
    <xf numFmtId="0" fontId="22" fillId="0" borderId="4" applyAlignment="1" pivotButton="0" quotePrefix="0" xfId="0">
      <alignment horizontal="left" vertical="top" wrapText="1"/>
    </xf>
    <xf numFmtId="0" fontId="7" fillId="11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general" vertical="center" indent="1"/>
    </xf>
    <xf numFmtId="0" fontId="21" fillId="6" borderId="5" applyAlignment="1" applyProtection="1" pivotButton="0" quotePrefix="0" xfId="0">
      <alignment horizontal="center" vertical="center"/>
      <protection locked="0" hidden="0"/>
    </xf>
    <xf numFmtId="0" fontId="6" fillId="15" borderId="0" applyAlignment="1" pivotButton="0" quotePrefix="0" xfId="0">
      <alignment horizontal="general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B851FF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F6B3C"/>
      <rgbColor rgb="FF000080"/>
      <rgbColor rgb="FFB7950B"/>
      <rgbColor rgb="FF800080"/>
      <rgbColor rgb="FF008080"/>
      <rgbColor rgb="FFB7C6D9"/>
      <rgbColor rgb="FF808080"/>
      <rgbColor rgb="FF9999FF"/>
      <rgbColor rgb="FF7030A0"/>
      <rgbColor rgb="FFFFF7E6"/>
      <rgbColor rgb="FFE9F7E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D9E5F2"/>
      <rgbColor rgb="FFFBF3DB"/>
      <rgbColor rgb="FFFDEDEC"/>
      <rgbColor rgb="FFF7F9FB"/>
      <rgbColor rgb="FFB851FF"/>
      <rgbColor rgb="FFFDE9D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392B"/>
      <rgbColor rgb="FF993366"/>
      <rgbColor rgb="FF1F4E78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8" activeCellId="0" sqref="B18"/>
    </sheetView>
  </sheetViews>
  <sheetFormatPr baseColWidth="8" defaultColWidth="8.66796875" defaultRowHeight="15.75" customHeight="0" zeroHeight="0" outlineLevelRow="0"/>
  <cols>
    <col width="14" customWidth="1" style="76" min="1" max="1"/>
    <col width="92" customWidth="1" style="76" min="2" max="2"/>
  </cols>
  <sheetData>
    <row r="1" ht="25.5" customHeight="1" s="77">
      <c r="A1" s="78" t="inlineStr">
        <is>
          <t>Diabetes Treatment Algorithm — Instructions</t>
        </is>
      </c>
    </row>
    <row r="2" ht="18" customHeight="1" s="77">
      <c r="A2" s="79" t="inlineStr">
        <is>
          <t>Read this page before using the tool. Tabs are listed in the order you'll typically use them.</t>
        </is>
      </c>
    </row>
    <row r="4" ht="18" customHeight="1" s="77">
      <c r="A4" s="80" t="inlineStr">
        <is>
          <t>Instructions for Patient Information Worksheet</t>
        </is>
      </c>
    </row>
    <row r="5" ht="27.75" customHeight="1" s="77">
      <c r="A5" s="81" t="n">
        <v>1</v>
      </c>
      <c r="B5" s="82" t="inlineStr">
        <is>
          <t>Enter all patient parameters in the fields outlined in red (age, gender, weight, height, serum creatinine).</t>
        </is>
      </c>
    </row>
    <row r="6" ht="27.75" customHeight="1" s="77">
      <c r="A6" s="81" t="n">
        <v>2</v>
      </c>
      <c r="B6" s="82" t="inlineStr">
        <is>
          <t>Select Yes/No for each Medical History item, including the new Obesity/overweight flag — these drive the preferred-therapy recommendations on the DM Medications tab.</t>
        </is>
      </c>
    </row>
    <row r="7" ht="27.75" customHeight="1" s="77">
      <c r="A7" s="81" t="n">
        <v>3</v>
      </c>
      <c r="B7" s="82" t="inlineStr">
        <is>
          <t>Calculated values (Ideal/Adjusted Body Weight, BMI, CrCl, eGFR) populate automatically in blue — no need to enter these.</t>
        </is>
      </c>
    </row>
    <row r="8" ht="9.75" customHeight="1" s="77"/>
    <row r="9" ht="18" customHeight="1" s="77">
      <c r="A9" s="80" t="inlineStr">
        <is>
          <t>Instructions for DM Medications Worksheet</t>
        </is>
      </c>
    </row>
    <row r="10" ht="27.75" customHeight="1" s="77">
      <c r="A10" s="81" t="n">
        <v>1</v>
      </c>
      <c r="B10" s="82" t="inlineStr">
        <is>
          <t>Use the cardiorenal risk / comorbidity table to identify preferred therapy based on the history entered on the Patient Information tab (ASCVD, heart failure, CKD, obesity, MASLD/MASH).</t>
        </is>
      </c>
    </row>
    <row r="11" ht="27.75" customHeight="1" s="77">
      <c r="A11" s="81" t="n">
        <v>2</v>
      </c>
      <c r="B11" s="82" t="inlineStr">
        <is>
          <t>Select an oral and/or injectable drug of choice from the red dropdown fields; dosing populates automatically in blue.</t>
        </is>
      </c>
    </row>
    <row r="12" ht="27.75" customHeight="1" s="77">
      <c r="A12" s="81" t="n">
        <v>3</v>
      </c>
      <c r="B12" s="82" t="inlineStr">
        <is>
          <t>Reassess therapy, including the need for hypoglycemia-prone agents, every 3-6 months.</t>
        </is>
      </c>
    </row>
    <row r="13" ht="9.75" customHeight="1" s="77"/>
    <row r="14" ht="18" customHeight="1" s="77">
      <c r="A14" s="80" t="inlineStr">
        <is>
          <t>Instructions for Insulin Worksheet</t>
        </is>
      </c>
    </row>
    <row r="15" ht="27.75" customHeight="1" s="77">
      <c r="A15" s="81" t="n">
        <v>1</v>
      </c>
      <c r="B15" s="82" t="inlineStr">
        <is>
          <t>Use the initial dosing section to calculate starting insulin doses from patient weight (pulled automatically from Patient Information).</t>
        </is>
      </c>
    </row>
    <row r="16" ht="27.75" customHeight="1" s="77">
      <c r="A16" s="81" t="n">
        <v>2</v>
      </c>
      <c r="B16" s="82" t="inlineStr">
        <is>
          <t>Use the Adjusting Insulin Regimen section to calculate correction dose and insulin-to-carb ratio from entered blood glucose values.</t>
        </is>
      </c>
    </row>
    <row r="17" ht="27.75" customHeight="1" s="77">
      <c r="A17" s="81" t="n">
        <v>3</v>
      </c>
      <c r="B17" s="82" t="inlineStr">
        <is>
          <t>Use the Insulin Conversions section when switching between insulin products, including the new once-weekly insulin icodec (Awiqli) calculator.</t>
        </is>
      </c>
    </row>
    <row r="18" ht="9.75" customHeight="1" s="77"/>
    <row r="19" ht="18" customHeight="1" s="77">
      <c r="A19" s="80" t="inlineStr">
        <is>
          <t>Instructions for SMBG Worksheet</t>
        </is>
      </c>
    </row>
    <row r="20" ht="27.75" customHeight="1" s="77">
      <c r="A20" s="81" t="n">
        <v>1</v>
      </c>
      <c r="B20" s="82" t="inlineStr">
        <is>
          <t>Enter blood glucose readings in the red grid for each meal time (before/after breakfast, lunch, dinner, and bedtime).</t>
        </is>
      </c>
    </row>
    <row r="21" ht="27.75" customHeight="1" s="77">
      <c r="A21" s="81" t="n">
        <v>2</v>
      </c>
      <c r="B21" s="82" t="inlineStr">
        <is>
          <t>Running averages, hypoglycemia count, and hyperglycemia count calculate automatically — hypoglycemic readings (&lt;70) highlight red, readings over 180 highlight purple.</t>
        </is>
      </c>
    </row>
    <row r="22" ht="27.75" customHeight="1" s="77">
      <c r="A22" s="81" t="n">
        <v>3</v>
      </c>
      <c r="B22" s="82" t="inlineStr">
        <is>
          <t>Reference current ADA blood sugar goals in the panel on the right, including the 2026 age/frailty-individualized and perioperative targets noted at the bottom of the tab.</t>
        </is>
      </c>
    </row>
    <row r="23" ht="9.75" customHeight="1" s="77"/>
    <row r="24" ht="19.5" customHeight="1" s="77">
      <c r="A24" s="83" t="inlineStr">
        <is>
          <t>This tool is intended to support, not replace, clinical judgment. Verify all calculated values and dosing recommendations — especially any field marked new for ADA 2026 — before use in patient care.</t>
        </is>
      </c>
      <c r="B24" s="84" t="n"/>
    </row>
    <row r="25" ht="19.5" customHeight="1" s="77">
      <c r="A25" s="85" t="n"/>
    </row>
    <row r="26" ht="19.5" customHeight="1" s="77">
      <c r="A26" s="85" t="n"/>
    </row>
    <row r="28" ht="18" customHeight="1" s="77">
      <c r="A28" s="86" t="inlineStr">
        <is>
          <t>Created by</t>
        </is>
      </c>
      <c r="B28" s="87" t="inlineStr">
        <is>
          <t>Andrew Tran, PharmD, BCACP, BCPS</t>
        </is>
      </c>
    </row>
    <row r="29" ht="18" customHeight="1" s="77">
      <c r="A29" s="86" t="inlineStr">
        <is>
          <t>Version</t>
        </is>
      </c>
      <c r="B29" s="87" t="inlineStr">
        <is>
          <t>2.0 — updated to ADA Standards of Care in Diabetes—2026</t>
        </is>
      </c>
    </row>
    <row r="30" ht="18" customHeight="1" s="77">
      <c r="A30" s="86" t="inlineStr">
        <is>
          <t>Created on</t>
        </is>
      </c>
      <c r="B30" s="87" t="inlineStr">
        <is>
          <t>06/01/2019</t>
        </is>
      </c>
    </row>
    <row r="31" ht="18" customHeight="1" s="77">
      <c r="A31" s="86" t="inlineStr">
        <is>
          <t>Last edit</t>
        </is>
      </c>
      <c r="B31" s="87" t="inlineStr">
        <is>
          <t>08/03/2026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80f"/>
  <mergeCells count="7">
    <mergeCell ref="A4:B4"/>
    <mergeCell ref="A2:B2"/>
    <mergeCell ref="A24:B26"/>
    <mergeCell ref="A19:B19"/>
    <mergeCell ref="A14:B14"/>
    <mergeCell ref="A1:B1"/>
    <mergeCell ref="A9:B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24"/>
  <sheetViews>
    <sheetView showFormulas="0" showGridLines="0" showRowColHeaders="1" showZeros="1" rightToLeft="0" tabSelected="0" showOutlineSymbols="1" defaultGridColor="1" view="normal" topLeftCell="A1" colorId="64" zoomScale="83" zoomScaleNormal="83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0.83984375" defaultRowHeight="24" customHeight="0" zeroHeight="0" outlineLevelRow="0"/>
  <cols>
    <col width="42" customWidth="1" style="88" min="1" max="1"/>
    <col width="22" customWidth="1" style="88" min="2" max="2"/>
    <col width="3" customWidth="1" style="88" min="3" max="5"/>
    <col width="26" customWidth="1" style="88" min="6" max="6"/>
    <col width="12" customWidth="1" style="88" min="7" max="7"/>
    <col width="16" customWidth="1" style="88" min="8" max="8"/>
    <col width="10.84" customWidth="1" style="88" min="9" max="16384"/>
  </cols>
  <sheetData>
    <row r="1" ht="25.5" customHeight="1" s="77">
      <c r="A1" s="89" t="inlineStr">
        <is>
          <t>Diabetes Treatment Algorithm — Patient Information</t>
        </is>
      </c>
    </row>
    <row r="2" ht="15.75" customHeight="1" s="77">
      <c r="A2" s="90" t="inlineStr">
        <is>
          <t>Red = enter data here     |     Blue = calculated automatically     |     Green = updated for ADA Standards of Care in Diabetes—2026</t>
        </is>
      </c>
    </row>
    <row r="3" ht="15.75" customHeight="1" s="77">
      <c r="A3" s="91" t="inlineStr">
        <is>
          <t>Disclaimer: use of this tool does not replace clinical judgment.</t>
        </is>
      </c>
    </row>
    <row r="4" ht="18" customHeight="1" s="77">
      <c r="A4" s="92" t="inlineStr">
        <is>
          <t>Input Patient Parameters</t>
        </is>
      </c>
      <c r="B4" s="93" t="n"/>
      <c r="F4" s="94" t="inlineStr">
        <is>
          <t>Conversions</t>
        </is>
      </c>
      <c r="G4" s="95" t="inlineStr">
        <is>
          <t>Enter</t>
        </is>
      </c>
      <c r="H4" s="96" t="inlineStr">
        <is>
          <t>Conversion</t>
        </is>
      </c>
    </row>
    <row r="5" ht="15.75" customHeight="1" s="77">
      <c r="A5" s="97" t="inlineStr">
        <is>
          <t>Patient Age (years)</t>
        </is>
      </c>
      <c r="B5" s="98" t="n">
        <v>60</v>
      </c>
      <c r="F5" s="99" t="inlineStr">
        <is>
          <t>Enter lbs to convert to Kg</t>
        </is>
      </c>
      <c r="G5" s="98" t="n"/>
      <c r="H5" s="100">
        <f>IF(G5="", "", G5/2.2)</f>
        <v/>
      </c>
    </row>
    <row r="6" ht="15.75" customHeight="1" s="77">
      <c r="A6" s="97" t="inlineStr">
        <is>
          <t>Gender (male, female)</t>
        </is>
      </c>
      <c r="B6" s="98" t="inlineStr">
        <is>
          <t>male</t>
        </is>
      </c>
      <c r="F6" s="99" t="inlineStr">
        <is>
          <t>Enter kg to  convert to lbs</t>
        </is>
      </c>
      <c r="G6" s="98" t="n"/>
      <c r="H6" s="100">
        <f>IF(G6="","", G6*2.2)</f>
        <v/>
      </c>
    </row>
    <row r="7" ht="15.75" customHeight="1" s="77">
      <c r="A7" s="97" t="inlineStr">
        <is>
          <t>Total Body Weight (kg)</t>
        </is>
      </c>
      <c r="B7" s="98" t="n">
        <v>60</v>
      </c>
      <c r="F7" s="99" t="inlineStr">
        <is>
          <t>Enter cm to inches</t>
        </is>
      </c>
      <c r="G7" s="98" t="n"/>
      <c r="H7" s="100">
        <f>IF(G7="","", G7/2.54)</f>
        <v/>
      </c>
    </row>
    <row r="8" ht="15.75" customHeight="1" s="77">
      <c r="A8" s="97" t="inlineStr">
        <is>
          <t>Height (in)</t>
        </is>
      </c>
      <c r="B8" s="98" t="n">
        <v>65</v>
      </c>
      <c r="F8" s="99" t="inlineStr">
        <is>
          <t>Enter inches to cm</t>
        </is>
      </c>
      <c r="G8" s="98" t="n"/>
      <c r="H8" s="100">
        <f>IF(G8="","", G8*2.54)</f>
        <v/>
      </c>
    </row>
    <row r="9" ht="15.75" customHeight="1" s="77">
      <c r="A9" s="97" t="inlineStr">
        <is>
          <t>Ideal Body Weight (kg)</t>
        </is>
      </c>
      <c r="B9" s="101">
        <f>IF(OR(B6="", B8=""), "", IF(B6="male", (50 + 2.3 * (B8 - 60)), IF(B6="female", (45.5 + 2.3 * (B8 - 60)), "")))</f>
        <v/>
      </c>
    </row>
    <row r="10" ht="15.75" customHeight="1" s="77">
      <c r="A10" s="97" t="inlineStr">
        <is>
          <t>Adjusted Body Weight (kg)</t>
        </is>
      </c>
      <c r="B10" s="101">
        <f>IF(OR(B7="", B9=""), "", B9 + (0.4 * (B7 - B9)))</f>
        <v/>
      </c>
    </row>
    <row r="11" ht="15.75" customHeight="1" s="77">
      <c r="A11" s="97" t="inlineStr">
        <is>
          <t>Patient's BMI (%)</t>
        </is>
      </c>
      <c r="B11" s="101">
        <f>IF(OR(B7="", B8=""), "", B7 / (((B8*2.54) / 100) ^ 2))</f>
        <v/>
      </c>
    </row>
    <row r="12" ht="15.75" customHeight="1" s="77">
      <c r="A12" s="97" t="inlineStr">
        <is>
          <t>Weight used in CrCl calculation</t>
        </is>
      </c>
      <c r="B12" s="100">
        <f>IF(OR(B7="", B9=""), "", IF(B7&lt;B9, "Actual Body Weight", IF(AND(B7&gt;B9, B7&lt;=(B9*1.3)), "Ideal Body Weight", IF(B7&gt;(B9*1.3), "Adjusted Body Weight", ""))))</f>
        <v/>
      </c>
    </row>
    <row r="13" ht="15.75" customHeight="1" s="77">
      <c r="A13" s="97" t="inlineStr">
        <is>
          <t>Serum Creatinine (mg/L)</t>
        </is>
      </c>
      <c r="B13" s="98" t="n">
        <v>1.2</v>
      </c>
    </row>
    <row r="14" ht="15.75" customHeight="1" s="77">
      <c r="A14" s="97" t="inlineStr">
        <is>
          <t>CrCl via Cockcroft-Gault Equation (mL/min)</t>
        </is>
      </c>
      <c r="B14" s="101">
        <f>IF(OR(B5="", B6="", B7="", B9="", B10="", B13=""), "", IF(AND(B7&lt;B9,B6="male"),((140-B5)*B7)/(B13*72),IF(AND(B7&lt;B9,B6="female"),0.85*((140-B5)*B7)/(B13*72),
IF(AND(B7&lt;=(B9*1.3),B6="male"),((140-B5)*B9)/(B13*72),IF(AND(B7&lt;=(B9*1.3),B6="female"),0.85*((140-B5)*B9)/(B13*72),
IF(AND(B7&gt;(B9*1.3),B6="male"),((140-B5)*B10)/(B13*72),IF(AND(B7&gt;(B9*1.3),B6="female"),0.85*((140-B5)*B10)/(B13*72),"")))))))</f>
        <v/>
      </c>
      <c r="C14" s="102" t="n"/>
    </row>
    <row r="15" ht="15.75" customHeight="1" s="77">
      <c r="A15" s="97" t="inlineStr">
        <is>
          <t>EGFR (mL/min)</t>
        </is>
      </c>
      <c r="B15" s="101">
        <f>IF(OR(B13="", B6="", B5=""), "", 141 * MIN(B13 / IF(B6="male", 0.9, 0.7), 1) ^ IF(B6="male", -0.411, -0.329) * MAX(B13 / IF(B6="male", 0.9, 0.7), 1) ^ (-1.209) * 0.993 ^ B5)</f>
        <v/>
      </c>
    </row>
    <row r="16" ht="24" customHeight="1" s="77">
      <c r="A16" s="103" t="n"/>
      <c r="B16" s="104" t="n"/>
    </row>
    <row r="17" ht="24" customHeight="1" s="77">
      <c r="A17" s="103" t="n"/>
      <c r="B17" s="105" t="inlineStr">
        <is>
          <t xml:space="preserve"> </t>
        </is>
      </c>
    </row>
    <row r="18" ht="18" customHeight="1" s="77">
      <c r="A18" s="92" t="inlineStr">
        <is>
          <t>Medical History  (Yes/No — see DM Medications tab)</t>
        </is>
      </c>
      <c r="B18" s="93" t="n"/>
    </row>
    <row r="19" ht="27.75" customHeight="1" s="77">
      <c r="A19" s="106" t="inlineStr">
        <is>
          <t>ASCVD (established or high-risk)</t>
        </is>
      </c>
      <c r="B19" s="98" t="n"/>
    </row>
    <row r="20" ht="27.75" customHeight="1" s="77">
      <c r="A20" s="106" t="inlineStr">
        <is>
          <t>Heart Failure (preserved of reduced EF)</t>
        </is>
      </c>
      <c r="B20" s="98" t="n"/>
      <c r="C20" s="107" t="n"/>
    </row>
    <row r="21" ht="27.75" customHeight="1" s="77">
      <c r="A21" s="106" t="inlineStr">
        <is>
          <t>Chronic Kidney Disease (eGFR &lt; 60 mL/min and/or UAC &gt; 30 mg/g)</t>
        </is>
      </c>
      <c r="B21" s="98" t="n"/>
    </row>
    <row r="22" ht="27.75" customHeight="1" s="77">
      <c r="A22" s="108" t="inlineStr">
        <is>
          <t>Obesity / overweight (BMI ≥ 27 kg/m² with comorbidity, or BMI ≥ 30 kg/m²)</t>
        </is>
      </c>
      <c r="B22" s="98" t="n"/>
    </row>
    <row r="24" ht="24" customHeight="1" s="77">
      <c r="A24" s="109" t="inlineStr">
        <is>
          <t>Source: American Diabetes Association. Standards of Care in Diabetes—2026. Diabetes Care. 2026;49(Suppl 1). Insulin dosing verified against FDA prescribing information (DailyMed), accessed Aug 2026.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80f"/>
  <mergeCells count="6">
    <mergeCell ref="A4:B4"/>
    <mergeCell ref="A3:H3"/>
    <mergeCell ref="A24:H24"/>
    <mergeCell ref="A2:H2"/>
    <mergeCell ref="A1:H1"/>
    <mergeCell ref="A18:B18"/>
  </mergeCells>
  <dataValidations count="2">
    <dataValidation sqref="B6" showDropDown="0" showInputMessage="1" showErrorMessage="1" allowBlank="1" type="list" errorStyle="stop" operator="between">
      <formula1>"male,female"</formula1>
      <formula2>0</formula2>
    </dataValidation>
    <dataValidation sqref="B19:B22" showDropDown="0" showInputMessage="1" showErrorMessage="1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54"/>
  <sheetViews>
    <sheetView showFormulas="0" showGridLines="0" showRowColHeaders="1" showZeros="1" rightToLeft="0" tabSelected="1" showOutlineSymbols="1" defaultGridColor="1" view="normal" topLeftCell="A3" colorId="64" zoomScale="116" zoomScaleNormal="116" zoomScalePageLayoutView="100" workbookViewId="0">
      <pane xSplit="0" ySplit="4" topLeftCell="A13" activePane="bottomLeft" state="frozen"/>
      <selection pane="topLeft" activeCell="A3" activeCellId="0" sqref="A3"/>
      <selection pane="bottomLeft" activeCell="B16" activeCellId="0" sqref="B16"/>
    </sheetView>
  </sheetViews>
  <sheetFormatPr baseColWidth="8" defaultColWidth="10.83984375" defaultRowHeight="24" customHeight="0" zeroHeight="0" outlineLevelRow="0"/>
  <cols>
    <col width="34" customWidth="1" style="110" min="1" max="1"/>
    <col width="78" customWidth="1" style="110" min="2" max="2"/>
    <col width="3" customWidth="1" style="110" min="3" max="4"/>
    <col width="10.84" customWidth="1" style="110" min="5" max="16384"/>
  </cols>
  <sheetData>
    <row r="1" ht="24" customHeight="1" s="77">
      <c r="A1" s="78" t="inlineStr">
        <is>
          <t>Type 2 Diabetes Pharmacotherapy</t>
        </is>
      </c>
    </row>
    <row r="2" ht="30" customHeight="1" s="77">
      <c r="A2" s="111" t="inlineStr">
        <is>
          <t>Healthy lifestyle behaviors, self-management education/support, and social determinants of health should be considered in ALL patients.</t>
        </is>
      </c>
    </row>
    <row r="3" ht="159.75" customHeight="1" s="77">
      <c r="A3" s="82" t="inlineStr">
        <is>
          <t>First-line pharmacotherapy should be selected based upon patient-specific factors: glycemic management needs, cardiorenal risk, comorbidities, cost, and access. Consider combination pharmacotherapy at initiation if A1C is more than 1.5% above target goal.
ADA 2026 update: in patients with established/high-risk ASCVD, heart failure, CKD, or obesity, consider an SGLT2 inhibitor and/or GLP-1 RA (or GIP/GLP-1 RA) at or near diagnosis — independent of metformin use or baseline A1C — rather than only as a later add-on.</t>
        </is>
      </c>
      <c r="B3" s="111" t="inlineStr">
        <is>
          <t>Consider early insulin initiation with extreme hyperglycemia:
- Blood glucose &gt; 300 mg/dL
- A1C &gt; 10%
- Signs of catabolism</t>
        </is>
      </c>
    </row>
    <row r="4" ht="18" customHeight="1" s="77">
      <c r="A4" s="112" t="inlineStr">
        <is>
          <t>Reassess and modify treatment every 3-6 months.</t>
        </is>
      </c>
    </row>
    <row r="5" ht="24" customHeight="1" s="77">
      <c r="A5" s="113" t="n"/>
      <c r="B5" s="113" t="n"/>
    </row>
    <row r="6" ht="18" customHeight="1" s="77">
      <c r="A6" s="114" t="inlineStr">
        <is>
          <t>Select Therapy Based on Cardiorenal Risk / Comorbidity</t>
        </is>
      </c>
    </row>
    <row r="7" ht="15.75" customHeight="1" s="77">
      <c r="A7" s="115" t="inlineStr">
        <is>
          <t>Comorbidity / Risk Factor</t>
        </is>
      </c>
      <c r="B7" s="115" t="inlineStr">
        <is>
          <t>Preferred Therapy</t>
        </is>
      </c>
    </row>
    <row r="8" ht="69.75" customHeight="1" s="77">
      <c r="A8" s="116" t="inlineStr">
        <is>
          <t>ASCVD (established or high risk)</t>
        </is>
      </c>
      <c r="B8" s="117" t="inlineStr">
        <is>
          <t>GLP-1 RA or SGLT2i with proven CVD benefit. Consider initiating at or near diagnosis in high-risk patients, independent of metformin use (ADA 2026).</t>
        </is>
      </c>
    </row>
    <row r="9" ht="69.75" customHeight="1" s="77">
      <c r="A9" s="116" t="inlineStr">
        <is>
          <t>Heart Failure (HFrEF or HFpEF)</t>
        </is>
      </c>
      <c r="B9" s="117" t="inlineStr">
        <is>
          <t>SGLT2i with HF benefit preferred (avoid TZDs; avoid saxagliptin). GLP-1 RA with HF benefit, or GIP/GLP-1 RA (tirzepatide), also supported — particularly for HFpEF (ADA 2026, based on SUMMIT trial data; guideline-based, not an FDA cardiovascular-outcome label).</t>
        </is>
      </c>
    </row>
    <row r="10" ht="69.75" customHeight="1" s="77">
      <c r="A10" s="116" t="inlineStr">
        <is>
          <t>Chronic Kidney Disease (eGFR &lt; 60 mL/min and/or UACR &gt; 30 mg/g)</t>
        </is>
      </c>
      <c r="B10" s="117" t="inlineStr">
        <is>
          <t>On maximally tolerated ACEi/ARB; SGLT2i with renal benefit. GLP-1 RA now also supported in T2DM with CKD (ADA 2026). Consider adding finerenone (nonsteroidal MRA) for persistent albuminuria (UACR ≥ 100 mg/g, eGFR 30-90) as a three-drug cardiorenal approach (ADA 2026).</t>
        </is>
      </c>
    </row>
    <row r="11" ht="54.75" customHeight="1" s="77">
      <c r="A11" s="118" t="inlineStr">
        <is>
          <t>Obesity / overweight (BMI ≥ 27 kg/m² with comorbidity, or BMI ≥ 30 kg/m²)</t>
        </is>
      </c>
      <c r="B11" s="119" t="inlineStr">
        <is>
          <t>GLP-1 RA or GIP/GLP-1 RA (tirzepatide) preferred — prioritize the agent with the greatest weight-loss efficacy the patient can access and tolerate (ADA 2026 expanded indication branch).</t>
        </is>
      </c>
    </row>
    <row r="12" ht="54.75" customHeight="1" s="77">
      <c r="A12" s="118" t="inlineStr">
        <is>
          <t>MASLD / MASH (metabolic dysfunction-associated steatotic liver disease / steatohepatitis)</t>
        </is>
      </c>
      <c r="B12" s="119" t="inlineStr">
        <is>
          <t>GLP-1 RA or GIP/GLP-1 RA preferred. Pioglitazone also has evidence in MASH but weigh against weight-gain and heart-failure risk (ADA 2026 expanded indication branch).</t>
        </is>
      </c>
    </row>
    <row r="13" ht="24" customHeight="1" s="77">
      <c r="A13" s="113" t="n"/>
      <c r="B13" s="113" t="n"/>
    </row>
    <row r="14" ht="39.75" customHeight="1" s="77">
      <c r="A14" s="119" t="inlineStr">
        <is>
          <t>New for ADA 2026: reassess the need for, and dose of, hypoglycemia-prone agents (sulfonylureas, meglitinides, insulin) whenever a new glucose-lowering medication is added, to reduce hypoglycemia risk and treatment burden.</t>
        </is>
      </c>
      <c r="B14" s="120" t="n"/>
    </row>
    <row r="15" ht="18" customHeight="1" s="77">
      <c r="A15" s="114" t="inlineStr">
        <is>
          <t>ORALS</t>
        </is>
      </c>
    </row>
    <row r="16" ht="15.75" customHeight="1" s="77">
      <c r="A16" s="112" t="inlineStr">
        <is>
          <t>Oral Drug of Choice?</t>
        </is>
      </c>
      <c r="B16" s="121" t="inlineStr">
        <is>
          <t>saxagliptin (Onglyza)</t>
        </is>
      </c>
    </row>
    <row r="17" ht="60" customHeight="1" s="77">
      <c r="A17" s="112" t="inlineStr">
        <is>
          <t>Oral Drug Dosing</t>
        </is>
      </c>
      <c r="B17" s="122">
        <f>IF(B16="metformin","IR: start 500 mg PO daily or BID; ER: start 500 mg PO daily; titrate to 2000 mg daily (or 2550 daily with 850 mg TID)",
IF(B16="glipizide","start 5 mg PO daily;  doses above 15 mg should be divided BID; max 40 mg daily",
IF(B16="glimepiride","Start 1-2 mg PO daily; max 8 mg daily",
IF(B16="glyburide","Start 2.5-5 mg PO daily, max 20 mg daily",
IF(B16="pioglitazone","Start 15-30 mg PO daily, max 45 mg daily",
IF(B16="canagliflozin (Invokana)","Start 100 mg PO daily, max 300 mg daily",
IF(B16="empagliflozin (Jardiance)","Start 10 mg PO daily; max 25 mg daily",
IF(B16="dapagliflozin (Farxiga)","start 5 mg PO daily; max 10 mg daily",
IF(B16="sitagliptin (Januvia)","100 mg PO daily; supplied as 25 mg, 50 mg, 100 mg",
IF(B16="linagliptin (Tradjenta)","5 mg PO daily",
IF(B16="saxagliptin (Onglyza)","2.5 mg or 5 mg PO daily",
IF(B16="alogliptin (Nesina)","25 mg PO daily",
IF(SEARCH("semaglutide",B16),"Start 3 mg PO daily x 30 days, then increase to 7 mg PO daily after 30 days; may be increased to 14 mg once daily (after 30 days)","")))))))))))))</f>
        <v/>
      </c>
    </row>
    <row r="18" ht="15.75" customHeight="1" s="77">
      <c r="A18" s="112" t="inlineStr">
        <is>
          <t>How Supplied</t>
        </is>
      </c>
      <c r="B18" s="123" t="n"/>
    </row>
    <row r="19" ht="15.75" customHeight="1" s="77">
      <c r="A19" s="112" t="inlineStr">
        <is>
          <t>Renal Dosing</t>
        </is>
      </c>
      <c r="B19" s="123" t="n"/>
    </row>
    <row r="20" ht="24" customHeight="1" s="77">
      <c r="A20" s="113" t="n"/>
      <c r="B20" s="124" t="n"/>
    </row>
    <row r="21" ht="18" customHeight="1" s="77">
      <c r="A21" s="114" t="inlineStr">
        <is>
          <t>INJECTABLES</t>
        </is>
      </c>
    </row>
    <row r="22" ht="15.75" customHeight="1" s="77">
      <c r="A22" s="112" t="inlineStr">
        <is>
          <t>Injectable Drug of Choice?</t>
        </is>
      </c>
      <c r="B22" s="121" t="inlineStr">
        <is>
          <t>dulaglutide (Trulicity)</t>
        </is>
      </c>
    </row>
    <row r="23" ht="69.75" customHeight="1" s="77">
      <c r="A23" s="112" t="inlineStr">
        <is>
          <t>Injectable Drug Dosing</t>
        </is>
      </c>
      <c r="B23" s="122">
        <f>IF(B22="liraglutide (Victoza)","Start 0.6 mg SQ once daily x1 week (not for glycemic control); increase to 1.2 mg once daily; may increase to max 1.8 mg once daily if needed",IF(B22="dulaglutide (Trulicity)","Start 0.75 mg SQ once weekly; may increase to 1.5 mg weekly after at least 4 weeks; if additional control needed, may increase to 3 mg weekly, then 4.5 mg weekly (each after at least 4 weeks on prior dose); max 4.5 mg weekly",IF(B22="exenatide (Byetta)","Start 5 mcg SQ twice daily within 60 minutes before morning and evening meals; after 1 month, may increase to 10 mcg SQ twice daily",IF(B22="exenatide ER (Bydureon)","2 mg SQ once weekly, any time of day, with or without meals",IF(B22="semaglutide (Ozempic)","Start 0.25 mg SQ once weekly x4 weeks (not for glycemic control); increase to 0.5 mg weekly; may increase to 1 mg weekly after at least 4 weeks; if additional control needed, may increase to max 2 mg weekly after at least 4 weeks on 1 mg",IF(B22="tirzepatide (Mounjaro)","Start 2.5 mg SQ once weekly x4 weeks (not for glycemic control); increase to 5 mg weekly; may increase in 2.5 mg increments after at least 4 weeks on current dose; max 15 mg weekly",IF(B22="pramlintide (SymlinPen)","Adjunct to mealtime insulin: start 60 mcg SQ immediately before major meals; may increase to 120 mcg as tolerated. Reduce prandial insulin doses by 50% when initiating to reduce hypoglycemia risk.","")))))))</f>
        <v/>
      </c>
    </row>
    <row r="24" ht="15.75" customHeight="1" s="77">
      <c r="A24" s="112" t="inlineStr">
        <is>
          <t>How Supplied</t>
        </is>
      </c>
      <c r="B24" s="123" t="n"/>
    </row>
    <row r="25" ht="15.75" customHeight="1" s="77">
      <c r="A25" s="112" t="inlineStr">
        <is>
          <t>Renal Dosing</t>
        </is>
      </c>
      <c r="B25" s="123" t="n"/>
    </row>
    <row r="26" ht="24" customHeight="1" s="77">
      <c r="A26" s="113" t="n"/>
      <c r="B26" s="113" t="n"/>
    </row>
    <row r="27" ht="18" customHeight="1" s="77">
      <c r="A27" s="114" t="inlineStr">
        <is>
          <t>FIRST-LINE THERAPY: METFORMIN</t>
        </is>
      </c>
    </row>
    <row r="28" ht="144.75" customHeight="1" s="77">
      <c r="A28" s="112" t="inlineStr">
        <is>
          <t>Dosage</t>
        </is>
      </c>
      <c r="B28" s="111" t="inlineStr">
        <is>
          <t>- Initial, 500 mg orally twice daily OR 850 mg orally once daily with meals; may adjust dose in 500 mg increments weekly OR 850 mg every 2 weeks; if desired, patients initiated at 500 mg twice daily may be switched to 850 mg twice daily after 2 weeks; MAX dose, 2550 mg/day; max effective dose: 2000 mg daily. Doses greater than 2000 mg/day may be better tolerated if given in 3 divided doses
- Renal impairment, eGFR below 30 mL/min/1.73 m(2): Use is contraindicated 
- Renal impairment, eGFR between 30 to 45 mL/min/1.73 m(2): Use not recommended 
- Renal impairment, eGFR falls below 45 mL/min/1.73 m(2) after initiation: Assess benefits and risks of continuing treatment
- Renal impairment, eGFR falls below 30 mL/min/1.73 m(2) after initiation: Discontinue treatment</t>
        </is>
      </c>
    </row>
    <row r="29" ht="24" customHeight="1" s="77">
      <c r="A29" s="113" t="n"/>
      <c r="B29" s="113" t="n"/>
    </row>
    <row r="30" ht="18" customHeight="1" s="77">
      <c r="A30" s="82" t="inlineStr">
        <is>
          <t>Recommended as foundational therapy independent of baseline A1C or A1C target (ADA 2026 — unchanged).</t>
        </is>
      </c>
    </row>
    <row r="31" ht="24" customHeight="1" s="77">
      <c r="A31" s="125" t="n"/>
      <c r="B31" s="125" t="n"/>
    </row>
    <row r="32" ht="18" customHeight="1" s="77">
      <c r="A32" s="114" t="inlineStr">
        <is>
          <t>DRUG CLASS REFERENCE</t>
        </is>
      </c>
    </row>
    <row r="33" ht="15.75" customHeight="1" s="77">
      <c r="A33" s="126" t="inlineStr">
        <is>
          <t>SGLT-2 Inhibitors</t>
        </is>
      </c>
    </row>
    <row r="34" ht="30" customHeight="1" s="77">
      <c r="A34" s="112" t="inlineStr">
        <is>
          <t>CVD Benefit (FDA approved)</t>
        </is>
      </c>
      <c r="B34" s="111" t="inlineStr">
        <is>
          <t>- canagliflozin (Invokana)
- empagliflozin (Jardiance)</t>
        </is>
      </c>
    </row>
    <row r="35" ht="30" customHeight="1" s="77">
      <c r="A35" s="112" t="inlineStr">
        <is>
          <t>HF Benefit (FDA approved)</t>
        </is>
      </c>
      <c r="B35" s="111" t="inlineStr">
        <is>
          <t>- dapagliflozin (Farxiga)
- empagliflozin (Jardiance)</t>
        </is>
      </c>
    </row>
    <row r="36" ht="45" customHeight="1" s="77">
      <c r="A36" s="112" t="inlineStr">
        <is>
          <t>Renal benefit (FDA approved)</t>
        </is>
      </c>
      <c r="B36" s="111" t="inlineStr">
        <is>
          <t>- canagliflozin (Invokana)
- dapagliflozin (Farxiga)
- empagliflozin (Jardiance)</t>
        </is>
      </c>
    </row>
    <row r="37" ht="60" customHeight="1" s="77">
      <c r="A37" s="112" t="inlineStr">
        <is>
          <t>Dosing</t>
        </is>
      </c>
      <c r="B37" s="111" t="inlineStr">
        <is>
          <t>- canagliflozin (Invokana) - Start 100 mg PO daily; max 300 mg daily
- dapagliflozin (Farxiga) - Start 5 mg PO daily; max 10 mg daily
- empagliflozin (Jardiance) - Start 10 mg PO daily; max 25 mg daily</t>
        </is>
      </c>
    </row>
    <row r="38" ht="60" customHeight="1" s="77">
      <c r="A38" s="112" t="inlineStr">
        <is>
          <t>eGFR cutoffs (glycemic indication)</t>
        </is>
      </c>
      <c r="B38" s="111" t="inlineStr">
        <is>
          <t>- canagliflozin (Invokana): eGFR 30-50: max dose 100 mg once daily; eGFR &lt;30 or HD: Not recommended
- dapagliflozin (Farxiga): eGFR &lt; 60: Contraindicated
- empagliflozin (Jardiance): eGFR &lt; 45: Contraindicated</t>
        </is>
      </c>
    </row>
    <row r="39" ht="45" customHeight="1" s="77">
      <c r="A39" s="118" t="inlineStr">
        <is>
          <t>Cardiorenal combination (ADA 2026)</t>
        </is>
      </c>
      <c r="B39" s="119" t="inlineStr">
        <is>
          <t>In T2DM with albuminuria (UACR ≥ 100 mg/g) and eGFR 30-90, consider combining an SGLT2i + finerenone (nonsteroidal MRA) + maximally tolerated ACEi/ARB for cardiorenal risk reduction.</t>
        </is>
      </c>
    </row>
    <row r="40" ht="15.75" customHeight="1" s="77">
      <c r="A40" s="126" t="inlineStr">
        <is>
          <t>GLP-1 RAs / GIP-GLP-1 RA</t>
        </is>
      </c>
    </row>
    <row r="41" ht="49.5" customHeight="1" s="77">
      <c r="A41" s="112" t="inlineStr">
        <is>
          <t>CVD Benefit (FDA approved)</t>
        </is>
      </c>
      <c r="B41" s="111" t="inlineStr">
        <is>
          <t>- dulaglutide (Trulicity)
- liraglutide (Victoza)
- semaglutide (Ozempic; Rybelsus)</t>
        </is>
      </c>
    </row>
    <row r="42" ht="60" customHeight="1" s="77">
      <c r="A42" s="118" t="inlineStr">
        <is>
          <t>HF Benefit</t>
        </is>
      </c>
      <c r="B42" s="119" t="inlineStr">
        <is>
          <t>Neutral by FDA CV-outcome labeling for dulaglutide/liraglutide/semaglutide. GIP/GLP-1 RA (tirzepatide) shows benefit in HFpEF per the SUMMIT trial and is supported for HFpEF per ADA 2026 Standards of Care — this is guideline-based, not an FDA cardiovascular-outcome label.</t>
        </is>
      </c>
    </row>
    <row r="43" ht="45" customHeight="1" s="77">
      <c r="A43" s="118" t="inlineStr">
        <is>
          <t>Renal Benefit</t>
        </is>
      </c>
      <c r="B43" s="119" t="inlineStr">
        <is>
          <t>Not FDA-approved as a dedicated renal-outcome indication for this class. ADA 2026 now supports GLP-1 RA / GIP-GLP-1 RA use in T2DM with CKD as part of individualized cardiorenal care.</t>
        </is>
      </c>
    </row>
    <row r="44" ht="99.75" customHeight="1" s="77">
      <c r="A44" s="112" t="inlineStr">
        <is>
          <t>Dosing</t>
        </is>
      </c>
      <c r="B44" s="111" t="inlineStr">
        <is>
          <t>- dulaglutide (Trulicity) - Start 0.75 mg SQ once weekly; max to 1.5 mg SQ weekly
- liraglutide (Victoza) - Start 0.6 mg SQ once daily for 1 week, then increase 1.2 mg once daily; then may increase to 1.8 mg daily
- semaglutide (Ozempic) - Start 0.25 mg SQ once weekly for 4 weeks, then increase to 0.5 mg once weekly; may increase to 1 mg once weekly. If additional glycemic control needed after at least 4 weeks on 1 mg dosage, may increase to MAX of 2 mg once weekly
- semaglutide (Rybelsus) - Start 3 mg orally daily for 30 days, then increase dose to 7 mg once daily, dose may be increased to 14 mg once daily after at least 30 days on 7 mg.</t>
        </is>
      </c>
    </row>
    <row r="46" ht="18" customHeight="1" s="77">
      <c r="A46" s="114" t="inlineStr">
        <is>
          <t>ADDITIONAL INJECTABLE DOSING REFERENCE  (new — completes the drug list above)</t>
        </is>
      </c>
    </row>
    <row r="47" ht="54.75" customHeight="1" s="77">
      <c r="A47" s="118" t="inlineStr">
        <is>
          <t>tirzepatide (Mounjaro)</t>
        </is>
      </c>
      <c r="B47" s="119" t="inlineStr">
        <is>
          <t>Start 2.5 mg SQ once weekly x4 weeks (not for glycemic control); increase to 5 mg weekly; may increase in 2.5 mg increments after at least 4 weeks on current dose; max 15 mg weekly.</t>
        </is>
      </c>
    </row>
    <row r="48" ht="54.75" customHeight="1" s="77">
      <c r="A48" s="118" t="inlineStr">
        <is>
          <t>exenatide (Byetta) / exenatide ER (Bydureon)</t>
        </is>
      </c>
      <c r="B48" s="119" t="inlineStr">
        <is>
          <t>Byetta: start 5 mcg SQ twice daily within 60 minutes before meals, may increase to 10 mcg twice daily after 1 month.  Bydureon: 2 mg SQ once weekly, any time of day, with or without meals.</t>
        </is>
      </c>
    </row>
    <row r="49" ht="54.75" customHeight="1" s="77">
      <c r="A49" s="118" t="inlineStr">
        <is>
          <t>pramlintide (SymlinPen)</t>
        </is>
      </c>
      <c r="B49" s="119" t="inlineStr">
        <is>
          <t>Adjunct to mealtime insulin in T2DM: start 60 mcg SQ immediately before major meals; may increase to 120 mcg as tolerated. Reduce prandial insulin doses by 50% when initiating to reduce hypoglycemia risk.</t>
        </is>
      </c>
    </row>
    <row r="51" ht="18" customHeight="1" s="77">
      <c r="A51" s="114" t="inlineStr">
        <is>
          <t>DEPRIORITIZED / FALLBACK AGENTS (ADA 2026)</t>
        </is>
      </c>
    </row>
    <row r="52" ht="54.75" customHeight="1" s="77">
      <c r="A52" s="127" t="inlineStr">
        <is>
          <t>Sulfonylureas, meglitinides, and DPP-4 inhibitors remain fallback / cost-driven options — they lack cardiovascular, kidney, weight, or liver benefit relative to preferred agents. Use sulfonylureas and TZDs judiciously at the lowest effective dose given weight-gain and fracture risk, particularly in older adults.</t>
        </is>
      </c>
      <c r="B52" s="128" t="n"/>
    </row>
    <row r="54" ht="45" customHeight="1" s="77">
      <c r="A54" s="129" t="inlineStr">
        <is>
          <t>Source: American Diabetes Association. Standards of Care in Diabetes—2026. Diabetes Care. 2026;49(Suppl 1), Section 9 (Pharmacologic Approaches to Glycemic Treatment). Injectable dosing verified against FDA prescribing information (DailyMed), accessed Aug 2026. Verify current oral semaglutide (Rybelsus) dosing/branding against the live FDA label before relying on this tool clinically — trade press reported a possible reformulation/brand transition not independently confirmed here.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80f"/>
  <mergeCells count="16">
    <mergeCell ref="A4:B4"/>
    <mergeCell ref="A21:B21"/>
    <mergeCell ref="A2:B2"/>
    <mergeCell ref="A30:B30"/>
    <mergeCell ref="A15:B15"/>
    <mergeCell ref="A52:B52"/>
    <mergeCell ref="A54:B54"/>
    <mergeCell ref="A33:B33"/>
    <mergeCell ref="A51:B51"/>
    <mergeCell ref="A46:B46"/>
    <mergeCell ref="A32:B32"/>
    <mergeCell ref="A14:B14"/>
    <mergeCell ref="A1:B1"/>
    <mergeCell ref="A40:B40"/>
    <mergeCell ref="A27:B27"/>
    <mergeCell ref="A6:B6"/>
  </mergeCells>
  <dataValidations count="2">
    <dataValidation sqref="B22" showDropDown="0" showInputMessage="1" showErrorMessage="1" allowBlank="1" type="list" errorStyle="stop" operator="between">
      <formula1>"liraglutide (Victoza),dulaglutide (Trulicity),exenatide (Byetta),exenatide ER (Bydureon),semaglutide (Ozempic),tirzepatide (Mounjaro),pramlintide (SymlinPen)"</formula1>
      <formula2>0</formula2>
    </dataValidation>
    <dataValidation sqref="B16" showDropDown="0" showInputMessage="1" showErrorMessage="1" allowBlank="1" type="list" errorStyle="stop" operator="between">
      <formula1>"metformin,glipizide,glimepiride,glyburide,pioglitazone,canagliflozin (Invokana),empagliflozin (Jardiance),dapagliflozin (Farxiga),sitagliptin (Januvia),linagliptin (Tradjenta),saxagliptin (Onglyza),alogliptin (Nesina),semaglutide (Rybelsus)   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55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B41" activeCellId="0" sqref="B41"/>
    </sheetView>
  </sheetViews>
  <sheetFormatPr baseColWidth="8" defaultColWidth="3.00390625" defaultRowHeight="24" customHeight="0" zeroHeight="0" outlineLevelRow="0"/>
  <cols>
    <col width="42" customWidth="1" style="110" min="1" max="1"/>
    <col width="26" customWidth="1" style="110" min="2" max="2"/>
    <col width="8" customWidth="1" style="110" min="3" max="3"/>
    <col width="30" customWidth="1" style="110" min="4" max="4"/>
    <col width="3" customWidth="1" style="110" min="5" max="16384"/>
  </cols>
  <sheetData>
    <row r="1" ht="24" customHeight="1" s="77">
      <c r="A1" s="78" t="inlineStr">
        <is>
          <t>Diabetes Treatment Algorithm — Insulin Dosing</t>
        </is>
      </c>
    </row>
    <row r="2" ht="15.75" customHeight="1" s="77">
      <c r="A2" s="79" t="inlineStr">
        <is>
          <t>Select or Evaluate Initial Insulin Dose  |  Red = enter data  |  Blue = calculated  |  Green = new for ADA 2026</t>
        </is>
      </c>
    </row>
    <row r="3" ht="15.75" customHeight="1" s="77">
      <c r="A3" s="130" t="inlineStr">
        <is>
          <t>Disclaimer: use of this tool does not replace clinical judgment.</t>
        </is>
      </c>
    </row>
    <row r="5" ht="18" customHeight="1" s="77">
      <c r="A5" s="114" t="inlineStr">
        <is>
          <t>Select Insulin Dosing Regimen — Initial</t>
        </is>
      </c>
    </row>
    <row r="6" ht="15.75" customHeight="1" s="77">
      <c r="A6" s="131" t="inlineStr">
        <is>
          <t>Initiating Insulin in Type 1 Diabetes</t>
        </is>
      </c>
    </row>
    <row r="7" ht="15.75" customHeight="1" s="77">
      <c r="A7" s="112" t="inlineStr">
        <is>
          <t>Insulin TDD</t>
        </is>
      </c>
      <c r="B7" s="111" t="inlineStr">
        <is>
          <t>0.4-1.0 units/kg/day</t>
        </is>
      </c>
    </row>
    <row r="8" ht="19.5" customHeight="1" s="77">
      <c r="B8" s="122">
        <f>CONCATENATE(('Patient Information'!B7*0.4)," - ",('Patient Information'!B7*1)," units q daily")</f>
        <v/>
      </c>
      <c r="C8" s="132" t="n"/>
      <c r="D8" s="133" t="n"/>
    </row>
    <row r="9" ht="18" customHeight="1" s="77">
      <c r="A9" s="134" t="inlineStr">
        <is>
          <t>Basal-Bolus Strategy</t>
        </is>
      </c>
      <c r="B9" s="135" t="n"/>
      <c r="C9" s="135" t="n"/>
      <c r="D9" s="135" t="n"/>
    </row>
    <row r="10" ht="30" customHeight="1" s="77">
      <c r="A10" s="136" t="inlineStr">
        <is>
          <t>If using Long-Acting + Rapid-Acting insulin (50/50)</t>
        </is>
      </c>
      <c r="B10" s="122">
        <f>IF(OR(ISBLANK('Patient Information'!B7)), "", CONCATENATE(ROUND(0.5 * ('Patient Information'!B7 * 0.4), 0), " - ", ROUND((0.5 * 'Patient Information'!B7 * 1), 0), " units of basal q daily"))</f>
        <v/>
      </c>
      <c r="C10" s="137" t="inlineStr">
        <is>
          <t>PLUS</t>
        </is>
      </c>
      <c r="D10" s="122">
        <f>IF(ISBLANK('Patient Information'!B7), "", CONCATENATE(ROUND((0.5 * ('Patient Information'!B7 * 0.4)) / 3, 0), " - ", ROUND(((0.5 * 'Patient Information'!B7 * 1) / 3), 0), " units of bolus TID with meals"))</f>
        <v/>
      </c>
    </row>
    <row r="11" ht="30" customHeight="1" s="77">
      <c r="A11" s="136" t="inlineStr">
        <is>
          <t>If using NPH and regular insulin (2/3 , 1/3)</t>
        </is>
      </c>
      <c r="B11" s="122">
        <f>IF(ISBLANK('Patient Information'!B7), "", CONCATENATE(ROUND(0.667 * ('Patient Information'!B7 * 0.4), 0), " - ", ROUND(0.667 * ('Patient Information'!B7 * 1), 0), " units of NPH BID"))</f>
        <v/>
      </c>
      <c r="C11" s="137" t="inlineStr">
        <is>
          <t>PLUS</t>
        </is>
      </c>
      <c r="D11" s="122">
        <f>IF(ISBLANK('Patient Information'!B7), "", CONCATENATE(ROUND(0.334 * ('Patient Information'!B7 * 0.4), 0), " - ", ROUND(0.334 * ('Patient Information'!B7 * 1), 0), " units of regular BID with meals"))</f>
        <v/>
      </c>
    </row>
    <row r="12" ht="30" customHeight="1" s="77">
      <c r="A12" s="136" t="inlineStr">
        <is>
          <t>if using insulin 70/30  (0.5 units/kg/day -- &gt; 2/3 AM +  1/3 PM)</t>
        </is>
      </c>
      <c r="B12" s="122">
        <f>IF(ISBLANK('Patient Information'!B7), "", CONCATENATE(ROUND(('Patient Information'!B7 * 0.5) * 0.667, 0), " units of 70/30 AM + ", ROUND(('Patient Information'!B7 * 0.5) * 0.334, 0), " units of 70/30 PM with meals"))</f>
        <v/>
      </c>
      <c r="C12" s="132" t="n"/>
      <c r="D12" s="133" t="n"/>
    </row>
    <row r="13" ht="18" customHeight="1" s="77">
      <c r="A13" s="138" t="inlineStr">
        <is>
          <t>Initiating Insulin in Type 2 Diabetes</t>
        </is>
      </c>
      <c r="B13" s="139" t="n"/>
      <c r="C13" s="139" t="n"/>
      <c r="D13" s="139" t="n"/>
    </row>
    <row r="14" ht="30" customHeight="1" s="77">
      <c r="A14" s="112" t="inlineStr">
        <is>
          <t>Basal Insulin Dose</t>
        </is>
      </c>
      <c r="B14" s="111" t="inlineStr">
        <is>
          <t>Basal Insulin is initated at 10 units daily OR 0.1-0.2 units/kg/day</t>
        </is>
      </c>
    </row>
    <row r="15" ht="15.75" customHeight="1" s="77">
      <c r="B15" s="111" t="inlineStr">
        <is>
          <t>10 units q daily</t>
        </is>
      </c>
      <c r="C15" s="140" t="inlineStr">
        <is>
          <t>OR</t>
        </is>
      </c>
      <c r="D15" s="122">
        <f>IF(ISBLANK('Patient Information'!B7), "", CONCATENATE(('Patient Information'!B7*0.1)," - ",('Patient Information'!B7*0.2)," units q daily"))</f>
        <v/>
      </c>
    </row>
    <row r="16" ht="7.5" customHeight="1" s="77">
      <c r="A16" s="141" t="n"/>
      <c r="B16" s="141" t="n"/>
      <c r="C16" s="141" t="n"/>
      <c r="D16" s="141" t="n"/>
      <c r="E16" s="142" t="n"/>
    </row>
    <row r="17" ht="18" customHeight="1" s="77">
      <c r="A17" s="114" t="inlineStr">
        <is>
          <t>Adjusting Insulin Regimen</t>
        </is>
      </c>
    </row>
    <row r="18" ht="15.75" customHeight="1" s="77">
      <c r="A18" s="143" t="inlineStr">
        <is>
          <t>Enter TDD of insulin</t>
        </is>
      </c>
      <c r="B18" s="121" t="n"/>
      <c r="C18" s="144" t="n"/>
      <c r="D18" s="145" t="n"/>
    </row>
    <row r="19" ht="30" customHeight="1" s="77">
      <c r="A19" s="112" t="inlineStr">
        <is>
          <t>Adding bolus insulin in T2DM</t>
        </is>
      </c>
      <c r="B19" s="111" t="inlineStr">
        <is>
          <t>If not at goal, bolus insulin is initiated at 4 units/day OR 10% of TDD</t>
        </is>
      </c>
    </row>
    <row r="20" ht="15.75" customHeight="1" s="77">
      <c r="B20" s="122" t="inlineStr">
        <is>
          <t>4 units per day with largest meal</t>
        </is>
      </c>
      <c r="C20" s="140" t="inlineStr">
        <is>
          <t>OR</t>
        </is>
      </c>
      <c r="D20" s="122">
        <f>IF(ISBLANK(B18), "", CONCATENATE(ROUND(B18*0.1, 0), " units per day with largest meal"))</f>
        <v/>
      </c>
    </row>
    <row r="21" ht="15.75" customHeight="1" s="77">
      <c r="A21" s="143" t="inlineStr">
        <is>
          <t>Enter rapid or regular Insulin as bolus?</t>
        </is>
      </c>
      <c r="B21" s="121" t="n"/>
      <c r="C21" s="144" t="n"/>
      <c r="D21" s="145" t="n"/>
    </row>
    <row r="22" ht="30" customHeight="1" s="77">
      <c r="A22" s="112" t="inlineStr">
        <is>
          <t>Insulin sensitivity factor (rule of 1800 or 1500)</t>
        </is>
      </c>
      <c r="B22" s="122">
        <f>IF(OR(ISBLANK(B21),ISBLANK(B18)),"",IF(B21="rapid",CONCATENATE(ROUND(1800/B18,0)," mg/dL lowered by 1 unit of rapid"),IF(B21="regular",CONCATENATE(ROUND(1500/B18,0)," mg/dL of glucose lowered by 1 unit of regular"),"")))</f>
        <v/>
      </c>
      <c r="C22" s="132" t="n"/>
      <c r="D22" s="133" t="n"/>
    </row>
    <row r="23" ht="30" customHeight="1" s="77">
      <c r="A23" s="112" t="inlineStr">
        <is>
          <t>Insulin-to-carb ratio (rule of 500 or 450)</t>
        </is>
      </c>
      <c r="B23" s="122">
        <f>IF(OR(ISBLANK(B21), ISBLANK(B18)), "", IF(B21="rapid", CONCATENATE(ROUND(500/B18, 0), " grams of carb covered by 1 unit of rapid"), IF(B21="regular", CONCATENATE(ROUND(450/B18, 0), " grams of carb covered by 1 unit of regular"), "")))</f>
        <v/>
      </c>
      <c r="C23" s="132" t="n"/>
      <c r="D23" s="133" t="n"/>
    </row>
    <row r="24" ht="15.75" customHeight="1" s="77">
      <c r="A24" s="112" t="inlineStr">
        <is>
          <t xml:space="preserve">Correction Dose </t>
        </is>
      </c>
      <c r="B24" s="111" t="inlineStr">
        <is>
          <t xml:space="preserve">[Current BG - Target BG]/Correction Factor </t>
        </is>
      </c>
    </row>
    <row r="25" ht="15.75" customHeight="1" s="77">
      <c r="A25" s="112" t="inlineStr">
        <is>
          <t xml:space="preserve">Enter current BG </t>
        </is>
      </c>
      <c r="B25" s="121" t="n"/>
      <c r="C25" s="144" t="n"/>
      <c r="D25" s="145" t="n"/>
    </row>
    <row r="26" ht="15.75" customHeight="1" s="77">
      <c r="A26" s="112" t="inlineStr">
        <is>
          <t>Enter target BG</t>
        </is>
      </c>
      <c r="B26" s="121" t="n"/>
      <c r="C26" s="144" t="n"/>
      <c r="D26" s="145" t="n"/>
    </row>
    <row r="27" ht="15.75" customHeight="1" s="77">
      <c r="A27" s="112" t="inlineStr">
        <is>
          <t>Calculated Correction Dose</t>
        </is>
      </c>
      <c r="B27" s="122">
        <f>IF(OR(ISBLANK(B21), ISBLANK(B25), ISBLANK(B26), ISBLANK(B18)), "", IF(B21="rapid", ROUND((B25-B26)/(1800/B18), 0) &amp; " units of rapid insulin", IF(B21="regular", ROUND((B25-B26)/(1500/B18), 0) &amp; " units of regular insulin", "")))</f>
        <v/>
      </c>
      <c r="C27" s="132" t="n"/>
      <c r="D27" s="133" t="n"/>
    </row>
    <row r="28" ht="7.5" customHeight="1" s="77">
      <c r="A28" s="141" t="n"/>
      <c r="B28" s="146" t="n"/>
      <c r="C28" s="146" t="n"/>
      <c r="D28" s="146" t="n"/>
      <c r="E28" s="142" t="n"/>
    </row>
    <row r="29" ht="18" customHeight="1" s="77">
      <c r="A29" s="114" t="inlineStr">
        <is>
          <t>Insulin Conversions</t>
        </is>
      </c>
    </row>
    <row r="30" ht="24" customHeight="1" s="77">
      <c r="A30" s="147" t="inlineStr">
        <is>
          <t>Basal insulin conversions</t>
        </is>
      </c>
      <c r="B30" s="148" t="n"/>
      <c r="C30" s="148" t="n"/>
      <c r="D30" s="148" t="n"/>
    </row>
    <row r="31" ht="15.75" customHeight="1" s="77">
      <c r="A31" s="112" t="inlineStr">
        <is>
          <t>Enter current basal insulin</t>
        </is>
      </c>
      <c r="B31" s="121" t="n"/>
      <c r="C31" s="144" t="n"/>
      <c r="D31" s="145" t="n"/>
    </row>
    <row r="32" ht="15.75" customHeight="1" s="77">
      <c r="A32" s="112" t="inlineStr">
        <is>
          <t>Enter current insulin dose</t>
        </is>
      </c>
      <c r="B32" s="121" t="n"/>
      <c r="C32" s="144" t="n"/>
      <c r="D32" s="145" t="n"/>
    </row>
    <row r="33" ht="15.75" customHeight="1" s="77">
      <c r="A33" s="112" t="inlineStr">
        <is>
          <t>Enter desired basal insulin</t>
        </is>
      </c>
      <c r="B33" s="121" t="n"/>
      <c r="C33" s="144" t="n"/>
      <c r="D33" s="145" t="n"/>
    </row>
    <row r="34" ht="15.75" customHeight="1" s="77">
      <c r="A34" s="112" t="inlineStr">
        <is>
          <t>Calculated desired insulin dose (TDD)</t>
        </is>
      </c>
      <c r="B34" s="122">
        <f>IF(OR(ISBLANK(B31), ISBLANK(B32), ISBLANK(B33)), "",
   IF(AND(B31="NPH BID", NOT(OR(B33="NPH BID", B33="Insulin degludec (Tresiba)", B33="Insulin detemir (Levemir)"))), B32*0.8,
      IF(AND(NOT(OR(B31="NPH BID", B31="Insulin detemir (Levemir)", B31="Insulin degludec (Tresiba)")), OR(B33="NPH BID", B33="Insulin detemir (Levemir)", B33="Insulin degludec (Tresiba)")), B32/0.8,
         IF(AND(B31="Insulin glargine (Toujeo)", NOT(OR(B33="Insulin glargine (Toujeo)", B33="Insulin degludec (Tresiba)"))), B32*0.8,
            IF(AND(NOT(OR(B31="Insulin glargine (Toujeo)", B31="Insulin degludec (Tresiba)")), OR(B33="Insulin glargine (Toujeo)", B33="Insulin degludec (Tresiba)")), B32/0.8,
               IF(AND(OR(B31="Regular (R)", B31="Novolin"), NOT(OR(B33="Regular (R)", B33="Novolin", B33="Regular (R) or Novolin"))), B32*0.8,
                  IF(AND(NOT(OR(B31="Regular (R)", B31="Novolin")), OR(B33="Regular (R)", B33="Novolin", B33="Regular (R) or Novolin")), B32/0.8, B32)
               )
            )
         )
      )
   )
)</f>
        <v/>
      </c>
      <c r="C34" s="132" t="n"/>
      <c r="D34" s="133" t="n"/>
    </row>
    <row r="35" ht="24" customHeight="1" s="77">
      <c r="A35" s="147" t="inlineStr">
        <is>
          <t>Bolus insulin conversions</t>
        </is>
      </c>
      <c r="B35" s="148" t="n"/>
      <c r="C35" s="148" t="n"/>
      <c r="D35" s="148" t="n"/>
    </row>
    <row r="36" ht="15.75" customHeight="1" s="77">
      <c r="A36" s="112" t="inlineStr">
        <is>
          <t>Enter current bolus insulin</t>
        </is>
      </c>
      <c r="B36" s="121" t="n"/>
      <c r="C36" s="144" t="n"/>
      <c r="D36" s="145" t="n"/>
    </row>
    <row r="37" ht="15.75" customHeight="1" s="77">
      <c r="A37" s="112" t="inlineStr">
        <is>
          <t>Enter current insulin dose</t>
        </is>
      </c>
      <c r="B37" s="121" t="n"/>
      <c r="C37" s="144" t="n"/>
      <c r="D37" s="145" t="n"/>
    </row>
    <row r="38" ht="15.75" customHeight="1" s="77">
      <c r="A38" s="112" t="inlineStr">
        <is>
          <t>Enter desired bolus  insulin</t>
        </is>
      </c>
      <c r="B38" s="121" t="n"/>
      <c r="C38" s="144" t="n"/>
      <c r="D38" s="145" t="n"/>
    </row>
    <row r="39" ht="15.75" customHeight="1" s="77">
      <c r="A39" s="112" t="inlineStr">
        <is>
          <t xml:space="preserve">Calculated desired insulin dose </t>
        </is>
      </c>
      <c r="B39" s="122">
        <f>IF(OR(ISBLANK(B36), ISBLANK(B37), ISBLANK(B38)), "",
   IF(AND(B36="Regular (R)", OR(B38="Insulin aspart (Novolog)", B38="Insulin lispro (Humalog)", B38="Insulin glulisine (Apidra)")), B37*0.8,
      IF(AND(OR(B36="Insulin aspart (Novolog)", B36="Insulin lispro (Humalog)", B36="Insulin glulisine (Apidra)"), B38="Regular (R)"), B37/0.8, B37)
   )
)</f>
        <v/>
      </c>
      <c r="C39" s="132" t="n"/>
      <c r="D39" s="133" t="n"/>
    </row>
    <row r="40" ht="24" customHeight="1" s="77">
      <c r="A40" s="147" t="inlineStr">
        <is>
          <t>Mixed insulin conversions</t>
        </is>
      </c>
      <c r="B40" s="148" t="n"/>
      <c r="C40" s="148" t="n"/>
      <c r="D40" s="148" t="n"/>
    </row>
    <row r="41" ht="15.75" customHeight="1" s="77">
      <c r="A41" s="112" t="inlineStr">
        <is>
          <t>Enter current mixed insulin</t>
        </is>
      </c>
      <c r="B41" s="121" t="n"/>
      <c r="C41" s="144" t="n"/>
      <c r="D41" s="145" t="n"/>
    </row>
    <row r="42" ht="15.75" customHeight="1" s="77">
      <c r="A42" s="112" t="inlineStr">
        <is>
          <t>Enter current insulin dose</t>
        </is>
      </c>
      <c r="B42" s="121" t="n"/>
      <c r="C42" s="144" t="n"/>
      <c r="D42" s="145" t="n"/>
    </row>
    <row r="43" ht="15.75" customHeight="1" s="77">
      <c r="A43" s="112" t="inlineStr">
        <is>
          <t>Enter desired mixed insulin</t>
        </is>
      </c>
      <c r="B43" s="121" t="n"/>
      <c r="C43" s="144" t="n"/>
      <c r="D43" s="145" t="n"/>
    </row>
    <row r="44" ht="15.75" customHeight="1" s="77">
      <c r="A44" s="112" t="inlineStr">
        <is>
          <t>Calculated desired insulin dose (TDD)</t>
        </is>
      </c>
      <c r="B44" s="122">
        <f>IF(OR(ISBLANK(B41), ISBLANK(B42), ISBLANK(B43)), "", IF(AND(B41="NPH BID", NOT(OR(B43="Insulin degludec (Tresiba)", B43="Insulin detemir (Levemir)"))), B42*0.8, IF(AND(B41="Insulin glargine (Toujeo)", NOT(B43="Insulin degludec (Tresiba)")), B42*0.8, B42)))</f>
        <v/>
      </c>
      <c r="C44" s="132" t="n"/>
      <c r="D44" s="133" t="n"/>
    </row>
    <row r="46" ht="18" customHeight="1" s="77">
      <c r="A46" s="149" t="inlineStr">
        <is>
          <t>ONCE-WEEKLY BASAL INSULIN — INSULIN ICODEC (AWIQLI)  —  new, FDA-approved March 2026</t>
        </is>
      </c>
    </row>
    <row r="47" ht="45" customHeight="1" s="77">
      <c r="A47" s="118" t="inlineStr">
        <is>
          <t>Formulation</t>
        </is>
      </c>
      <c r="B47" s="119" t="inlineStr">
        <is>
          <t>U-700 (700 units/mL) — about 7x more concentrated than standard U-100 basal insulins. Use only the Awiqli FlexTouch pen; never withdraw into a syringe. Do not mix or dilute with any other insulin.</t>
        </is>
      </c>
      <c r="C47" s="150" t="n"/>
      <c r="D47" s="120" t="n"/>
    </row>
    <row r="48" ht="30" customHeight="1" s="77">
      <c r="A48" s="118" t="inlineStr">
        <is>
          <t>Insulin-naive starting dose</t>
        </is>
      </c>
      <c r="B48" s="119" t="inlineStr">
        <is>
          <t>70 units SQ once weekly, same day each week.</t>
        </is>
      </c>
      <c r="C48" s="150" t="n"/>
      <c r="D48" s="120" t="n"/>
    </row>
    <row r="49" ht="30" customHeight="1" s="77">
      <c r="A49" s="118" t="inlineStr">
        <is>
          <t>Enter current total daily dose of basal insulin (units) — for patients switching from daily basal</t>
        </is>
      </c>
      <c r="B49" s="121" t="n"/>
      <c r="C49" s="144" t="n"/>
      <c r="D49" s="145" t="n"/>
    </row>
    <row r="50" ht="18" customHeight="1" s="77">
      <c r="A50" s="118" t="inlineStr">
        <is>
          <t>Week 1 dose (one-time starting dose)</t>
        </is>
      </c>
      <c r="B50" s="118">
        <f>IF(ISBLANK(B49),"",CONCATENATE(ROUND((1.5*B49*7)/10,0)*10," units (one-time starting dose)"))</f>
        <v/>
      </c>
      <c r="C50" s="150" t="n"/>
      <c r="D50" s="120" t="n"/>
    </row>
    <row r="51" ht="18" customHeight="1" s="77">
      <c r="A51" s="118" t="inlineStr">
        <is>
          <t>Week 2 dose</t>
        </is>
      </c>
      <c r="B51" s="118">
        <f>IF(ISBLANK(B49),"",CONCATENATE(ROUND((B49*7)/10,0)*10," units"))</f>
        <v/>
      </c>
      <c r="C51" s="150" t="n"/>
      <c r="D51" s="120" t="n"/>
    </row>
    <row r="52" ht="30" customHeight="1" s="77">
      <c r="A52" s="118" t="inlineStr">
        <is>
          <t>Week 3 and beyond</t>
        </is>
      </c>
      <c r="B52" s="119" t="inlineStr">
        <is>
          <t>Titrate from the prior weekly dose based on metabolic needs, blood glucose monitoring, and glycemic goals.</t>
        </is>
      </c>
      <c r="C52" s="150" t="n"/>
      <c r="D52" s="120" t="n"/>
    </row>
    <row r="53" ht="69.75" customHeight="1" s="77">
      <c r="A53" s="118" t="inlineStr">
        <is>
          <t>Administration notes</t>
        </is>
      </c>
      <c r="B53" s="119" t="inlineStr">
        <is>
          <t>Give the first Awiqli dose the day after the last daily basal dose. Doses in 10-unit increments; max 700 units per single injection (doses above 700 units require split injections). If a dose is missed, take within 4 days of the missed dose; if more than 4 days have passed, skip and resume on the next scheduled day.</t>
        </is>
      </c>
      <c r="C53" s="150" t="n"/>
      <c r="D53" s="120" t="n"/>
    </row>
    <row r="55" ht="30" customHeight="1" s="77">
      <c r="A55" s="129" t="inlineStr">
        <is>
          <t>Source: Awiqli (insulin icodec-abae) FDA Prescribing Information, DailyMed, revised 3/2026, accessed Aug 2026. All other insulin initiation/titration figures on this tab are carried over from prior Standards of Care — no ADA-specific numeric changes were identified for 2026.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80f"/>
  <mergeCells count="43">
    <mergeCell ref="A5:D5"/>
    <mergeCell ref="A17:D17"/>
    <mergeCell ref="B42:D42"/>
    <mergeCell ref="B14:D14"/>
    <mergeCell ref="B23:D23"/>
    <mergeCell ref="B8:D8"/>
    <mergeCell ref="A29:D29"/>
    <mergeCell ref="B44:D44"/>
    <mergeCell ref="B53:D53"/>
    <mergeCell ref="B38:D38"/>
    <mergeCell ref="A13:D13"/>
    <mergeCell ref="B34:D34"/>
    <mergeCell ref="A9:D9"/>
    <mergeCell ref="B19:D19"/>
    <mergeCell ref="B37:D37"/>
    <mergeCell ref="B49:D49"/>
    <mergeCell ref="B24:D24"/>
    <mergeCell ref="B51:D51"/>
    <mergeCell ref="B33:D33"/>
    <mergeCell ref="A1:D1"/>
    <mergeCell ref="B36:D36"/>
    <mergeCell ref="A6:D6"/>
    <mergeCell ref="B41:D41"/>
    <mergeCell ref="B32:D32"/>
    <mergeCell ref="B50:D50"/>
    <mergeCell ref="B26:D26"/>
    <mergeCell ref="B7:D7"/>
    <mergeCell ref="B25:D25"/>
    <mergeCell ref="A46:D46"/>
    <mergeCell ref="B47:D47"/>
    <mergeCell ref="B31:D31"/>
    <mergeCell ref="B22:D22"/>
    <mergeCell ref="A3:D3"/>
    <mergeCell ref="A55:D55"/>
    <mergeCell ref="B18:D18"/>
    <mergeCell ref="B27:D27"/>
    <mergeCell ref="B52:D52"/>
    <mergeCell ref="B21:D21"/>
    <mergeCell ref="A2:D2"/>
    <mergeCell ref="B43:D43"/>
    <mergeCell ref="B12:D12"/>
    <mergeCell ref="B39:D39"/>
    <mergeCell ref="B48:D48"/>
  </mergeCells>
  <dataValidations count="4">
    <dataValidation sqref="B21" showDropDown="0" showInputMessage="1" showErrorMessage="1" allowBlank="1" type="list" errorStyle="stop" operator="between">
      <formula1>"rapid,regular"</formula1>
      <formula2>0</formula2>
    </dataValidation>
    <dataValidation sqref="B31:D31 B33:D33" showDropDown="0" showInputMessage="1" showErrorMessage="1" allowBlank="1" type="list" errorStyle="stop" operator="between">
      <formula1>"NPH BID,Insulin glargine (Basaglar,Lantus),Insulin glargine (Toujeo),Insulin detemir (Levemir),Insulin degludec (Tresiba)"</formula1>
      <formula2>0</formula2>
    </dataValidation>
    <dataValidation sqref="B41:D41 B43:D43" showDropDown="0" showInputMessage="1" showErrorMessage="1" allowBlank="1" type="list" errorStyle="stop" operator="between">
      <formula1>"Humulin 70/30,Novolin 70/30,Novolog 70/30,Humulin 50/50,Humalog mix 75/25"</formula1>
      <formula2>0</formula2>
    </dataValidation>
    <dataValidation sqref="B36:D36 B38:D38" showDropDown="0" showInputMessage="1" showErrorMessage="1" allowBlank="1" type="list" errorStyle="stop" operator="between">
      <formula1>"Insulin lispro (Humalog),Insulin aspart (Novolog),Insulin glulisine (Apidra),Regular (R)"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M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I13" activeCellId="0" sqref="I13"/>
    </sheetView>
  </sheetViews>
  <sheetFormatPr baseColWidth="8" defaultColWidth="10.66796875" defaultRowHeight="15.75" customHeight="0" zeroHeight="0" outlineLevelRow="0"/>
  <cols>
    <col width="20" customWidth="1" style="76" min="1" max="1"/>
    <col width="9" customWidth="1" style="76" min="2" max="7"/>
    <col width="16" customWidth="1" style="76" min="8" max="8"/>
    <col width="3" customWidth="1" style="76" min="9" max="10"/>
    <col width="26" customWidth="1" style="76" min="11" max="11"/>
    <col width="12" customWidth="1" style="76" min="12" max="12"/>
    <col width="16" customWidth="1" style="76" min="13" max="13"/>
  </cols>
  <sheetData>
    <row r="1" ht="24" customHeight="1" s="77">
      <c r="A1" s="78" t="inlineStr">
        <is>
          <t>Diabetes Treatment Algorithm — SMBG Averages</t>
        </is>
      </c>
    </row>
    <row r="2" ht="15.75" customHeight="1" s="77">
      <c r="A2" s="79" t="inlineStr">
        <is>
          <t>SMBG Averages  |  Red = enter data  |  Blue = calculated  |  Green = new for ADA 2026</t>
        </is>
      </c>
    </row>
    <row r="3" ht="15.75" customHeight="1" s="77">
      <c r="A3" s="130" t="inlineStr">
        <is>
          <t>Disclaimer: use of this tool does not replace clinical judgment.</t>
        </is>
      </c>
    </row>
    <row r="4" ht="18" customHeight="1" s="77">
      <c r="A4" s="151" t="n"/>
      <c r="B4" s="152" t="inlineStr">
        <is>
          <t xml:space="preserve">Enter SMBG values </t>
        </is>
      </c>
      <c r="C4" s="153" t="n"/>
      <c r="D4" s="153" t="n"/>
      <c r="E4" s="153" t="n"/>
      <c r="F4" s="153" t="n"/>
      <c r="G4" s="154" t="n"/>
      <c r="H4" s="152" t="inlineStr">
        <is>
          <t xml:space="preserve">Running average </t>
        </is>
      </c>
      <c r="K4" s="152" t="inlineStr">
        <is>
          <t>ADA Blood Sugar Goals</t>
        </is>
      </c>
      <c r="L4" s="154" t="n"/>
      <c r="M4" s="151" t="n"/>
    </row>
    <row r="5" ht="15" customHeight="1" s="77">
      <c r="A5" s="155" t="inlineStr">
        <is>
          <t>Before Breakfast</t>
        </is>
      </c>
      <c r="B5" s="156" t="n"/>
      <c r="C5" s="156" t="n"/>
      <c r="D5" s="156" t="n"/>
      <c r="E5" s="156" t="n"/>
      <c r="F5" s="156" t="n"/>
      <c r="G5" s="156" t="n"/>
      <c r="H5" s="100">
        <f>IF(COUNT(B5:G9) &gt; 0, ROUND(AVERAGE(B5:G9), 1), "")</f>
        <v/>
      </c>
      <c r="K5" s="157" t="inlineStr">
        <is>
          <t>A1c</t>
        </is>
      </c>
      <c r="L5" s="158" t="inlineStr">
        <is>
          <t>&lt;7%</t>
        </is>
      </c>
      <c r="M5" s="151" t="n"/>
    </row>
    <row r="6" ht="15" customHeight="1" s="77">
      <c r="A6" s="159" t="n"/>
      <c r="B6" s="156" t="n"/>
      <c r="C6" s="156" t="n"/>
      <c r="D6" s="156" t="n"/>
      <c r="E6" s="156" t="n"/>
      <c r="F6" s="156" t="n"/>
      <c r="G6" s="156" t="n"/>
      <c r="H6" s="160" t="n"/>
      <c r="K6" s="157" t="inlineStr">
        <is>
          <t>Fasting</t>
        </is>
      </c>
      <c r="L6" s="158" t="inlineStr">
        <is>
          <t>80-130</t>
        </is>
      </c>
      <c r="M6" s="151" t="n"/>
    </row>
    <row r="7" ht="15" customHeight="1" s="77">
      <c r="A7" s="159" t="n"/>
      <c r="B7" s="156" t="n"/>
      <c r="C7" s="156" t="n"/>
      <c r="D7" s="156" t="n"/>
      <c r="E7" s="156" t="n"/>
      <c r="F7" s="156" t="n"/>
      <c r="G7" s="156" t="n"/>
      <c r="H7" s="160" t="n"/>
      <c r="K7" s="157" t="inlineStr">
        <is>
          <t>2 hours post-prandial</t>
        </is>
      </c>
      <c r="L7" s="158" t="inlineStr">
        <is>
          <t>&lt; 180</t>
        </is>
      </c>
      <c r="M7" s="151" t="n"/>
    </row>
    <row r="8" ht="15" customHeight="1" s="77">
      <c r="A8" s="159" t="n"/>
      <c r="B8" s="156" t="n"/>
      <c r="C8" s="156" t="n"/>
      <c r="D8" s="156" t="n"/>
      <c r="E8" s="156" t="n"/>
      <c r="F8" s="156" t="n"/>
      <c r="G8" s="156" t="n"/>
      <c r="H8" s="160" t="n"/>
      <c r="K8" s="157" t="inlineStr">
        <is>
          <t>Hypoglycemia</t>
        </is>
      </c>
      <c r="L8" s="158" t="inlineStr">
        <is>
          <t>&lt;70</t>
        </is>
      </c>
      <c r="M8" s="151" t="n"/>
    </row>
    <row r="9" ht="15" customHeight="1" s="77">
      <c r="A9" s="161" t="n"/>
      <c r="B9" s="156" t="n"/>
      <c r="C9" s="156" t="n"/>
      <c r="D9" s="156" t="n"/>
      <c r="E9" s="156" t="n"/>
      <c r="F9" s="156" t="n"/>
      <c r="G9" s="156" t="n"/>
      <c r="H9" s="162" t="n"/>
      <c r="K9" s="151" t="n"/>
      <c r="L9" s="151" t="n"/>
      <c r="M9" s="151" t="n"/>
    </row>
    <row r="10" ht="15" customHeight="1" s="77">
      <c r="A10" s="155" t="inlineStr">
        <is>
          <t>After Breakfast</t>
        </is>
      </c>
      <c r="B10" s="156" t="n"/>
      <c r="C10" s="156" t="n"/>
      <c r="D10" s="156" t="n"/>
      <c r="E10" s="156" t="n"/>
      <c r="F10" s="156" t="n"/>
      <c r="G10" s="156" t="n"/>
      <c r="H10" s="100">
        <f>IF(COUNT(B10:G14) &gt; 0, ROUND(AVERAGE(B10:G14), 1), "")</f>
        <v/>
      </c>
      <c r="K10" s="163" t="inlineStr">
        <is>
          <t>Hypoglycemic SMBG &lt; 70  will change cell red</t>
        </is>
      </c>
      <c r="L10" s="154" t="n"/>
      <c r="M10" s="151" t="n"/>
    </row>
    <row r="11" ht="15" customHeight="1" s="77">
      <c r="A11" s="159" t="n"/>
      <c r="B11" s="156" t="n"/>
      <c r="C11" s="156" t="n"/>
      <c r="D11" s="156" t="n"/>
      <c r="E11" s="156" t="n"/>
      <c r="F11" s="156" t="n"/>
      <c r="G11" s="156" t="n"/>
      <c r="H11" s="160" t="n"/>
      <c r="K11" s="163" t="inlineStr">
        <is>
          <t>SMBG &gt; 180 will change cell purple</t>
        </is>
      </c>
      <c r="L11" s="154" t="n"/>
      <c r="M11" s="151" t="n"/>
    </row>
    <row r="12" ht="15" customHeight="1" s="77">
      <c r="A12" s="159" t="n"/>
      <c r="B12" s="156" t="n"/>
      <c r="C12" s="156" t="n"/>
      <c r="D12" s="156" t="n"/>
      <c r="E12" s="156" t="n"/>
      <c r="F12" s="156" t="n"/>
      <c r="G12" s="156" t="n"/>
      <c r="H12" s="160" t="n"/>
      <c r="K12" s="151" t="n"/>
      <c r="L12" s="151" t="n"/>
      <c r="M12" s="151" t="n"/>
    </row>
    <row r="13" ht="15" customHeight="1" s="77">
      <c r="A13" s="159" t="n"/>
      <c r="B13" s="156" t="n"/>
      <c r="C13" s="156" t="n"/>
      <c r="D13" s="156" t="n"/>
      <c r="E13" s="156" t="n"/>
      <c r="F13" s="156" t="n"/>
      <c r="G13" s="156" t="n"/>
      <c r="H13" s="160" t="n"/>
      <c r="K13" s="97" t="inlineStr">
        <is>
          <t>Overall Average</t>
        </is>
      </c>
      <c r="L13" s="100">
        <f>IF(COUNT(H5:H39) &gt; 0, ROUND(AVERAGE(H5:H39), 1), "")</f>
        <v/>
      </c>
      <c r="M13" s="151" t="n"/>
    </row>
    <row r="14" ht="15" customHeight="1" s="77">
      <c r="A14" s="161" t="n"/>
      <c r="B14" s="156" t="n"/>
      <c r="C14" s="156" t="n"/>
      <c r="D14" s="156" t="n"/>
      <c r="E14" s="156" t="n"/>
      <c r="F14" s="156" t="n"/>
      <c r="G14" s="156" t="n"/>
      <c r="H14" s="162" t="n"/>
      <c r="K14" s="97" t="inlineStr">
        <is>
          <t># Hypoglycemic SMBG</t>
        </is>
      </c>
      <c r="L14" s="100">
        <f>COUNTIF(B5:G39,"&lt;70")</f>
        <v/>
      </c>
      <c r="M14" s="151" t="n"/>
    </row>
    <row r="15" ht="15" customHeight="1" s="77">
      <c r="A15" s="155" t="inlineStr">
        <is>
          <t>Before Lunch</t>
        </is>
      </c>
      <c r="B15" s="156" t="n"/>
      <c r="C15" s="156" t="n"/>
      <c r="D15" s="156" t="n"/>
      <c r="E15" s="156" t="n"/>
      <c r="F15" s="156" t="n"/>
      <c r="G15" s="156" t="n"/>
      <c r="H15" s="100">
        <f>IF(COUNT(B15:G19) &gt; 0, ROUND(AVERAGE(B15:G19), 1), "")</f>
        <v/>
      </c>
      <c r="K15" s="97" t="inlineStr">
        <is>
          <t># SMBG &gt; 180</t>
        </is>
      </c>
      <c r="L15" s="100">
        <f>COUNTIF(B5:G39, "&gt;180")</f>
        <v/>
      </c>
      <c r="M15" s="151" t="n"/>
    </row>
    <row r="16" ht="15" customHeight="1" s="77">
      <c r="A16" s="159" t="n"/>
      <c r="B16" s="156" t="n"/>
      <c r="C16" s="156" t="n"/>
      <c r="D16" s="156" t="n"/>
      <c r="E16" s="156" t="n"/>
      <c r="F16" s="156" t="n"/>
      <c r="G16" s="156" t="n"/>
      <c r="H16" s="160" t="n"/>
      <c r="K16" s="151" t="n"/>
      <c r="L16" s="151" t="n"/>
      <c r="M16" s="151" t="n"/>
    </row>
    <row r="17" ht="15" customHeight="1" s="77">
      <c r="A17" s="159" t="n"/>
      <c r="B17" s="156" t="n"/>
      <c r="C17" s="156" t="n"/>
      <c r="D17" s="156" t="n"/>
      <c r="E17" s="156" t="n"/>
      <c r="F17" s="156" t="n"/>
      <c r="G17" s="156" t="n"/>
      <c r="H17" s="160" t="n"/>
      <c r="K17" s="152" t="inlineStr">
        <is>
          <t>Conversions</t>
        </is>
      </c>
      <c r="L17" s="164" t="inlineStr">
        <is>
          <t>Enter</t>
        </is>
      </c>
      <c r="M17" s="152" t="inlineStr">
        <is>
          <t>Conversion</t>
        </is>
      </c>
    </row>
    <row r="18" ht="15" customHeight="1" s="77">
      <c r="A18" s="159" t="n"/>
      <c r="B18" s="156" t="n"/>
      <c r="C18" s="156" t="n"/>
      <c r="D18" s="156" t="n"/>
      <c r="E18" s="156" t="n"/>
      <c r="F18" s="156" t="n"/>
      <c r="G18" s="156" t="n"/>
      <c r="H18" s="160" t="n"/>
      <c r="K18" s="165" t="inlineStr">
        <is>
          <t>A1C to estimated glucose</t>
        </is>
      </c>
      <c r="L18" s="166" t="n"/>
      <c r="M18" s="100">
        <f>IF(L18="", "", 28.7*L18-46.7)</f>
        <v/>
      </c>
    </row>
    <row r="19" ht="15" customHeight="1" s="77">
      <c r="A19" s="161" t="n"/>
      <c r="B19" s="156" t="n"/>
      <c r="C19" s="156" t="n"/>
      <c r="D19" s="156" t="n"/>
      <c r="E19" s="156" t="n"/>
      <c r="F19" s="156" t="n"/>
      <c r="G19" s="156" t="n"/>
      <c r="H19" s="162" t="n"/>
      <c r="K19" s="165" t="inlineStr">
        <is>
          <t>Average glucose to A1c</t>
        </is>
      </c>
      <c r="L19" s="166" t="n"/>
      <c r="M19" s="100">
        <f>IF(L19="", "", ((L19+46.7)/28.7))</f>
        <v/>
      </c>
    </row>
    <row r="20" ht="15" customHeight="1" s="77">
      <c r="A20" s="155" t="inlineStr">
        <is>
          <t>After Lunch</t>
        </is>
      </c>
      <c r="B20" s="156" t="n"/>
      <c r="C20" s="156" t="n"/>
      <c r="D20" s="156" t="n"/>
      <c r="E20" s="156" t="n"/>
      <c r="F20" s="156" t="n"/>
      <c r="G20" s="156" t="n"/>
      <c r="H20" s="100">
        <f>IF(COUNT(B20:G24) &gt; 0, ROUND(AVERAGE(B20:G24), 1), "")</f>
        <v/>
      </c>
    </row>
    <row r="21" ht="15" customHeight="1" s="77">
      <c r="A21" s="159" t="n"/>
      <c r="B21" s="156" t="n"/>
      <c r="C21" s="156" t="n"/>
      <c r="D21" s="156" t="n"/>
      <c r="E21" s="156" t="n"/>
      <c r="F21" s="156" t="n"/>
      <c r="G21" s="156" t="n"/>
      <c r="H21" s="160" t="n"/>
    </row>
    <row r="22" ht="15" customHeight="1" s="77">
      <c r="A22" s="159" t="n"/>
      <c r="B22" s="156" t="n"/>
      <c r="C22" s="156" t="n"/>
      <c r="D22" s="156" t="n"/>
      <c r="E22" s="156" t="n"/>
      <c r="F22" s="156" t="n"/>
      <c r="G22" s="156" t="n"/>
      <c r="H22" s="160" t="n"/>
    </row>
    <row r="23" ht="15" customHeight="1" s="77">
      <c r="A23" s="159" t="n"/>
      <c r="B23" s="156" t="n"/>
      <c r="C23" s="156" t="n"/>
      <c r="D23" s="156" t="n"/>
      <c r="E23" s="156" t="n"/>
      <c r="F23" s="156" t="n"/>
      <c r="G23" s="156" t="n"/>
      <c r="H23" s="160" t="n"/>
    </row>
    <row r="24" ht="15" customHeight="1" s="77">
      <c r="A24" s="161" t="n"/>
      <c r="B24" s="156" t="n"/>
      <c r="C24" s="156" t="n"/>
      <c r="D24" s="156" t="n"/>
      <c r="E24" s="156" t="n"/>
      <c r="F24" s="156" t="n"/>
      <c r="G24" s="156" t="n"/>
      <c r="H24" s="162" t="n"/>
    </row>
    <row r="25" ht="15" customHeight="1" s="77">
      <c r="A25" s="155" t="inlineStr">
        <is>
          <t>Before Dinner</t>
        </is>
      </c>
      <c r="B25" s="156" t="n"/>
      <c r="C25" s="156" t="n"/>
      <c r="D25" s="156" t="n"/>
      <c r="E25" s="156" t="n"/>
      <c r="F25" s="156" t="n"/>
      <c r="G25" s="156" t="n"/>
      <c r="H25" s="100">
        <f>IF(COUNT(B25:G29) &gt; 0, ROUND(AVERAGE(B25:G29), 1), "")</f>
        <v/>
      </c>
    </row>
    <row r="26" ht="15" customHeight="1" s="77">
      <c r="A26" s="159" t="n"/>
      <c r="B26" s="156" t="n"/>
      <c r="C26" s="156" t="n"/>
      <c r="D26" s="156" t="n"/>
      <c r="E26" s="156" t="n"/>
      <c r="F26" s="156" t="n"/>
      <c r="G26" s="156" t="n"/>
      <c r="H26" s="160" t="n"/>
    </row>
    <row r="27" ht="15" customHeight="1" s="77">
      <c r="A27" s="159" t="n"/>
      <c r="B27" s="156" t="n"/>
      <c r="C27" s="156" t="n"/>
      <c r="D27" s="156" t="n"/>
      <c r="E27" s="156" t="n"/>
      <c r="F27" s="156" t="n"/>
      <c r="G27" s="156" t="n"/>
      <c r="H27" s="160" t="n"/>
    </row>
    <row r="28" ht="15" customHeight="1" s="77">
      <c r="A28" s="159" t="n"/>
      <c r="B28" s="156" t="n"/>
      <c r="C28" s="156" t="n"/>
      <c r="D28" s="156" t="n"/>
      <c r="E28" s="156" t="n"/>
      <c r="F28" s="156" t="n"/>
      <c r="G28" s="156" t="n"/>
      <c r="H28" s="160" t="n"/>
    </row>
    <row r="29" ht="15" customHeight="1" s="77">
      <c r="A29" s="161" t="n"/>
      <c r="B29" s="156" t="n"/>
      <c r="C29" s="156" t="n"/>
      <c r="D29" s="156" t="n"/>
      <c r="E29" s="156" t="n"/>
      <c r="F29" s="156" t="n"/>
      <c r="G29" s="156" t="n"/>
      <c r="H29" s="162" t="n"/>
    </row>
    <row r="30" ht="15" customHeight="1" s="77">
      <c r="A30" s="155" t="inlineStr">
        <is>
          <t>After Dinner</t>
        </is>
      </c>
      <c r="B30" s="156" t="n"/>
      <c r="C30" s="156" t="n"/>
      <c r="D30" s="156" t="n"/>
      <c r="E30" s="156" t="n"/>
      <c r="F30" s="156" t="n"/>
      <c r="G30" s="156" t="n"/>
      <c r="H30" s="100">
        <f>IF(COUNT(B30:G34) &gt; 0, ROUND(AVERAGE(B30:G34), 1), "")</f>
        <v/>
      </c>
    </row>
    <row r="31" ht="15" customHeight="1" s="77">
      <c r="A31" s="159" t="n"/>
      <c r="B31" s="156" t="n"/>
      <c r="C31" s="156" t="n"/>
      <c r="D31" s="156" t="n"/>
      <c r="E31" s="156" t="n"/>
      <c r="F31" s="156" t="n"/>
      <c r="G31" s="156" t="n"/>
      <c r="H31" s="160" t="n"/>
    </row>
    <row r="32" ht="15" customHeight="1" s="77">
      <c r="A32" s="159" t="n"/>
      <c r="B32" s="156" t="n"/>
      <c r="C32" s="156" t="n"/>
      <c r="D32" s="156" t="n"/>
      <c r="E32" s="156" t="n"/>
      <c r="F32" s="156" t="n"/>
      <c r="G32" s="156" t="n"/>
      <c r="H32" s="160" t="n"/>
    </row>
    <row r="33" ht="15" customHeight="1" s="77">
      <c r="A33" s="159" t="n"/>
      <c r="B33" s="156" t="n"/>
      <c r="C33" s="156" t="n"/>
      <c r="D33" s="156" t="n"/>
      <c r="E33" s="156" t="n"/>
      <c r="F33" s="156" t="n"/>
      <c r="G33" s="156" t="n"/>
      <c r="H33" s="160" t="n"/>
    </row>
    <row r="34" ht="15" customHeight="1" s="77">
      <c r="A34" s="161" t="n"/>
      <c r="B34" s="156" t="n"/>
      <c r="C34" s="156" t="n"/>
      <c r="D34" s="156" t="n"/>
      <c r="E34" s="156" t="n"/>
      <c r="F34" s="156" t="n"/>
      <c r="G34" s="156" t="n"/>
      <c r="H34" s="162" t="n"/>
    </row>
    <row r="35" ht="15" customHeight="1" s="77">
      <c r="A35" s="155" t="inlineStr">
        <is>
          <t>Bedtime</t>
        </is>
      </c>
      <c r="B35" s="156" t="n"/>
      <c r="C35" s="156" t="n"/>
      <c r="D35" s="156" t="n"/>
      <c r="E35" s="156" t="n"/>
      <c r="F35" s="156" t="n"/>
      <c r="G35" s="156" t="n"/>
      <c r="H35" s="100">
        <f>IF(COUNT(B35:G39) &gt; 0, ROUND(AVERAGE(B35:G39), 1), "")</f>
        <v/>
      </c>
    </row>
    <row r="36" ht="15" customHeight="1" s="77">
      <c r="A36" s="159" t="n"/>
      <c r="B36" s="156" t="n"/>
      <c r="C36" s="156" t="n"/>
      <c r="D36" s="156" t="n"/>
      <c r="E36" s="156" t="n"/>
      <c r="F36" s="156" t="n"/>
      <c r="G36" s="156" t="n"/>
      <c r="H36" s="160" t="n"/>
    </row>
    <row r="37" ht="15" customHeight="1" s="77">
      <c r="A37" s="159" t="n"/>
      <c r="B37" s="156" t="n"/>
      <c r="C37" s="156" t="n"/>
      <c r="D37" s="156" t="n"/>
      <c r="E37" s="156" t="n"/>
      <c r="F37" s="156" t="n"/>
      <c r="G37" s="156" t="n"/>
      <c r="H37" s="160" t="n"/>
    </row>
    <row r="38" ht="15" customHeight="1" s="77">
      <c r="A38" s="159" t="n"/>
      <c r="B38" s="156" t="n"/>
      <c r="C38" s="156" t="n"/>
      <c r="D38" s="156" t="n"/>
      <c r="E38" s="156" t="n"/>
      <c r="F38" s="156" t="n"/>
      <c r="G38" s="156" t="n"/>
      <c r="H38" s="160" t="n"/>
    </row>
    <row r="39" ht="15" customHeight="1" s="77">
      <c r="A39" s="161" t="n"/>
      <c r="B39" s="156" t="n"/>
      <c r="C39" s="156" t="n"/>
      <c r="D39" s="156" t="n"/>
      <c r="E39" s="156" t="n"/>
      <c r="F39" s="156" t="n"/>
      <c r="G39" s="156" t="n"/>
      <c r="H39" s="162" t="n"/>
    </row>
    <row r="41" ht="18" customHeight="1" s="77">
      <c r="A41" s="167" t="inlineStr">
        <is>
          <t>ADDITIONAL 2026 ADA TARGETS  —  new</t>
        </is>
      </c>
    </row>
    <row r="42" ht="30" customHeight="1" s="77">
      <c r="A42" s="119" t="inlineStr">
        <is>
          <t>Glycemic and CGM targets are now framed more explicitly around age, frailty, and functional/health status rather than a single flat number — individualize the &lt;7% A1C goal accordingly, especially in older adults (ADA 2026, Sections 6 and 13).</t>
        </is>
      </c>
      <c r="B42" s="150" t="n"/>
      <c r="C42" s="150" t="n"/>
      <c r="D42" s="150" t="n"/>
      <c r="E42" s="150" t="n"/>
      <c r="F42" s="150" t="n"/>
      <c r="G42" s="150" t="n"/>
      <c r="H42" s="150" t="n"/>
      <c r="I42" s="150" t="n"/>
      <c r="J42" s="150" t="n"/>
      <c r="K42" s="150" t="n"/>
      <c r="L42" s="150" t="n"/>
      <c r="M42" s="120" t="n"/>
    </row>
    <row r="43" ht="30" customHeight="1" s="77">
      <c r="A43" s="119" t="inlineStr">
        <is>
          <t>New perioperative target (ADA 2026): A1C ≤ 8% before elective surgery; inpatient glucose 100-180 mg/dL before, during, and after surgery.</t>
        </is>
      </c>
      <c r="B43" s="150" t="n"/>
      <c r="C43" s="150" t="n"/>
      <c r="D43" s="150" t="n"/>
      <c r="E43" s="150" t="n"/>
      <c r="F43" s="150" t="n"/>
      <c r="G43" s="150" t="n"/>
      <c r="H43" s="150" t="n"/>
      <c r="I43" s="150" t="n"/>
      <c r="J43" s="150" t="n"/>
      <c r="K43" s="150" t="n"/>
      <c r="L43" s="150" t="n"/>
      <c r="M43" s="120" t="n"/>
    </row>
    <row r="45" ht="30" customHeight="1" s="77">
      <c r="A45" s="129" t="inlineStr">
        <is>
          <t>Source: American Diabetes Association. Standards of Care in Diabetes—2026. Diabetes Care. 2026;49(Suppl 1), Sections 6 and 13. Core fasting/postprandial/hypoglycemia numeric thresholds (80-130, &lt;180, &lt;70 mg/dL) verified as carryover with no confirmed 2026 numeric change; cross-check Table 6.2 directly if this tool is used for a non-standard target population.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80f"/>
  <mergeCells count="25">
    <mergeCell ref="A5:A9"/>
    <mergeCell ref="A20:A24"/>
    <mergeCell ref="A43:M43"/>
    <mergeCell ref="H15:H19"/>
    <mergeCell ref="K11:L11"/>
    <mergeCell ref="A35:A39"/>
    <mergeCell ref="A10:A14"/>
    <mergeCell ref="H30:H34"/>
    <mergeCell ref="A1:M1"/>
    <mergeCell ref="A30:A34"/>
    <mergeCell ref="H35:H39"/>
    <mergeCell ref="A15:A19"/>
    <mergeCell ref="H20:H24"/>
    <mergeCell ref="A45:M45"/>
    <mergeCell ref="H5:H9"/>
    <mergeCell ref="B4:G4"/>
    <mergeCell ref="H10:H14"/>
    <mergeCell ref="A41:M41"/>
    <mergeCell ref="A25:A29"/>
    <mergeCell ref="H25:H29"/>
    <mergeCell ref="K10:L10"/>
    <mergeCell ref="A3:M3"/>
    <mergeCell ref="K4:L4"/>
    <mergeCell ref="A2:M2"/>
    <mergeCell ref="A42:M42"/>
  </mergeCells>
  <conditionalFormatting sqref="B5:G39">
    <cfRule type="expression" rank="0" priority="2" equalAverage="0" aboveAverage="0" dxfId="0" text="" percent="0" bottom="0">
      <formula>AND(B5&gt;180, B5&lt;&gt;"")</formula>
    </cfRule>
    <cfRule type="expression" rank="0" priority="3" equalAverage="0" aboveAverage="0" dxfId="1" text="" percent="0" bottom="0">
      <formula>AND(B5&lt;70, B5&lt;&gt;"")</formula>
    </cfRule>
  </conditionalFormatting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Tran</dc:creator>
  <dc:language xmlns:dc="http://purl.org/dc/elements/1.1/">en-US</dc:language>
  <dcterms:created xmlns:dcterms="http://purl.org/dc/terms/" xmlns:xsi="http://www.w3.org/2001/XMLSchema-instance" xsi:type="dcterms:W3CDTF">2023-05-26T00:03:51Z</dcterms:created>
  <dcterms:modified xmlns:dcterms="http://purl.org/dc/terms/" xmlns:xsi="http://www.w3.org/2001/XMLSchema-instance" xsi:type="dcterms:W3CDTF">2026-08-03T21:55:49Z</dcterms:modified>
  <cp:lastModifiedBy>Andrew Tran</cp:lastModifiedBy>
  <cp:revision>0</cp:revision>
</cp:coreProperties>
</file>