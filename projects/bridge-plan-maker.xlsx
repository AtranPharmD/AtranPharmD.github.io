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Patient Information" sheetId="2" state="visible" r:id="rId2"/>
    <sheet xmlns:r="http://schemas.openxmlformats.org/officeDocument/2006/relationships" name="Bridge Plan Printout" sheetId="3" state="visible" r:id="rId3"/>
    <sheet xmlns:r="http://schemas.openxmlformats.org/officeDocument/2006/relationships" name="References" sheetId="4" state="visible" r:id="rId4"/>
  </sheets>
  <definedNames>
    <definedName name="_xlnm.Print_Area" localSheetId="0">'Instructions'!$A$1:$H$42</definedName>
    <definedName name="_xlnm.Print_Area" localSheetId="1">'Patient Information'!$A$1:$L$10</definedName>
    <definedName name="_xlnm.Print_Area" localSheetId="2">'Bridge Plan Printout'!$A$1:$F$27</definedName>
    <definedName name="_xlnm.Print_Area" localSheetId="3">'References'!$A$1:$L$14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m/dd/yyyy"/>
  </numFmts>
  <fonts count="36">
    <font>
      <name val="Calibri"/>
      <charset val="1"/>
      <family val="2"/>
      <color theme="1"/>
      <sz val="11"/>
    </font>
    <font>
      <name val="Arial"/>
      <family val="0"/>
      <sz val="10"/>
    </font>
    <font>
      <name val="Arial"/>
      <family val="0"/>
      <sz val="10"/>
    </font>
    <font>
      <name val="Arial"/>
      <family val="0"/>
      <sz val="10"/>
    </font>
    <font>
      <name val="Times New Roman"/>
      <charset val="1"/>
      <family val="1"/>
      <sz val="14"/>
    </font>
    <font>
      <name val="Arial"/>
      <charset val="1"/>
      <family val="2"/>
      <b val="1"/>
      <color rgb="FFFFFFFF"/>
      <sz val="18"/>
    </font>
    <font>
      <name val="Arial"/>
      <charset val="1"/>
      <family val="2"/>
      <sz val="10.5"/>
    </font>
    <font>
      <name val="Arial"/>
      <charset val="1"/>
      <family val="2"/>
      <i val="1"/>
      <color rgb="FF5A6472"/>
      <sz val="11"/>
    </font>
    <font>
      <name val="Arial"/>
      <charset val="1"/>
      <family val="2"/>
      <b val="1"/>
      <color rgb="FF1F3864"/>
      <sz val="12.5"/>
    </font>
    <font>
      <name val="Arial"/>
      <charset val="1"/>
      <family val="2"/>
      <b val="1"/>
      <color rgb="FFFFFFFF"/>
      <sz val="11"/>
    </font>
    <font>
      <name val="Arial"/>
      <charset val="1"/>
      <family val="2"/>
      <color rgb="FF1A2B3A"/>
      <sz val="10.5"/>
    </font>
    <font>
      <name val="Arial"/>
      <charset val="1"/>
      <family val="2"/>
      <b val="1"/>
      <i val="1"/>
      <color rgb="FF9C2B2B"/>
      <sz val="10"/>
    </font>
    <font>
      <name val="Arial"/>
      <charset val="1"/>
      <family val="2"/>
      <color rgb="FF1A2B3A"/>
      <sz val="10"/>
    </font>
    <font>
      <name val="Arial"/>
      <charset val="1"/>
      <family val="2"/>
      <b val="1"/>
      <color rgb="FF1A2B3A"/>
      <sz val="10"/>
    </font>
    <font>
      <name val="Arial"/>
      <charset val="1"/>
      <family val="2"/>
      <color rgb="FF5A6472"/>
      <sz val="10"/>
    </font>
    <font>
      <name val="Arial"/>
      <charset val="1"/>
      <family val="2"/>
      <b val="1"/>
      <color rgb="FF1F3864"/>
      <sz val="10.5"/>
    </font>
    <font>
      <name val="Arial"/>
      <charset val="1"/>
      <family val="2"/>
      <color rgb="FF5A6472"/>
      <sz val="9.5"/>
    </font>
    <font>
      <name val="Arial"/>
      <charset val="1"/>
      <family val="2"/>
      <b val="1"/>
      <color rgb="FFFFFFFF"/>
      <sz val="10"/>
    </font>
    <font>
      <name val="Arial"/>
      <charset val="1"/>
      <family val="2"/>
      <color rgb="FF1A2B3A"/>
      <sz val="9.5"/>
    </font>
    <font>
      <name val="Arial"/>
      <charset val="1"/>
      <family val="0"/>
      <b val="1"/>
      <color rgb="FF1F3864"/>
      <sz val="11"/>
    </font>
    <font>
      <name val="Arial"/>
      <charset val="1"/>
      <family val="0"/>
      <b val="1"/>
      <color rgb="FF1F3864"/>
      <sz val="10"/>
    </font>
    <font>
      <name val="Arial"/>
      <charset val="1"/>
      <family val="0"/>
      <color rgb="FF1A2B3A"/>
      <sz val="10"/>
    </font>
    <font>
      <name val="Arial"/>
      <charset val="1"/>
      <family val="2"/>
      <sz val="11"/>
    </font>
    <font>
      <name val="Arial"/>
      <charset val="1"/>
      <family val="2"/>
      <b val="1"/>
      <color rgb="FFFFFFFF"/>
      <sz val="10.5"/>
    </font>
    <font>
      <name val="Arial"/>
      <charset val="1"/>
      <family val="2"/>
      <b val="1"/>
      <color rgb="FF1A2B3A"/>
      <sz val="10.5"/>
    </font>
    <font>
      <name val="Arial"/>
      <charset val="1"/>
      <family val="2"/>
      <b val="1"/>
      <color rgb="FF0B5D57"/>
      <sz val="10.5"/>
    </font>
    <font>
      <name val="Arial"/>
      <charset val="1"/>
      <family val="2"/>
      <i val="1"/>
      <color rgb="FFFFFFFF"/>
      <sz val="10"/>
    </font>
    <font>
      <name val="Arial"/>
      <charset val="1"/>
      <family val="2"/>
      <b val="1"/>
      <i val="1"/>
      <color rgb="FF9C2B2B"/>
      <sz val="9.5"/>
    </font>
    <font>
      <name val="Arial"/>
      <charset val="1"/>
      <family val="2"/>
      <b val="1"/>
      <color rgb="FF0B5D57"/>
      <sz val="10"/>
    </font>
    <font>
      <name val="Times New Roman"/>
      <charset val="1"/>
      <family val="1"/>
      <sz val="12"/>
    </font>
    <font>
      <name val="Arial"/>
      <charset val="1"/>
      <family val="2"/>
      <b val="1"/>
      <color rgb="FF1F3864"/>
      <sz val="15"/>
    </font>
    <font>
      <name val="Times New Roman"/>
      <charset val="1"/>
      <family val="1"/>
      <b val="1"/>
      <sz val="12"/>
    </font>
    <font>
      <name val="Arial"/>
      <charset val="1"/>
      <family val="2"/>
      <b val="1"/>
      <color rgb="FF5A6472"/>
      <sz val="10"/>
    </font>
    <font>
      <name val="Arial"/>
      <charset val="1"/>
      <family val="2"/>
      <b val="1"/>
      <color rgb="FF1A2B3A"/>
      <sz val="11.5"/>
    </font>
    <font>
      <name val="Arial"/>
      <charset val="1"/>
      <family val="2"/>
      <b val="1"/>
      <color rgb="FFFFFFFF"/>
      <sz val="9.5"/>
    </font>
    <font>
      <name val="Arial"/>
      <charset val="1"/>
      <family val="2"/>
      <b val="1"/>
      <color rgb="FF1F3864"/>
      <sz val="10"/>
    </font>
  </fonts>
  <fills count="13">
    <fill>
      <patternFill/>
    </fill>
    <fill>
      <patternFill patternType="gray125"/>
    </fill>
    <fill>
      <patternFill patternType="solid">
        <fgColor rgb="FF1F3864"/>
        <bgColor rgb="FF1A2B3A"/>
      </patternFill>
    </fill>
    <fill>
      <patternFill patternType="solid">
        <fgColor rgb="FFD9E2F3"/>
        <bgColor rgb="FFD9DEE4"/>
      </patternFill>
    </fill>
    <fill>
      <patternFill patternType="solid">
        <fgColor rgb="FFFFF3CD"/>
        <bgColor rgb="FFFFF7C2"/>
      </patternFill>
    </fill>
    <fill>
      <patternFill patternType="solid">
        <fgColor rgb="FFFFF7C2"/>
        <bgColor rgb="FFFFF3CD"/>
      </patternFill>
    </fill>
    <fill>
      <patternFill patternType="solid">
        <fgColor rgb="FFC9EEEA"/>
        <bgColor rgb="FFD9E2F3"/>
      </patternFill>
    </fill>
    <fill>
      <patternFill patternType="solid">
        <fgColor rgb="FF5B6B82"/>
        <bgColor rgb="FF5A6472"/>
      </patternFill>
    </fill>
    <fill>
      <patternFill patternType="solid">
        <fgColor rgb="FFFFC000"/>
        <bgColor rgb="FFFF9900"/>
      </patternFill>
    </fill>
    <fill>
      <patternFill patternType="solid">
        <fgColor rgb="FF2E7D46"/>
        <bgColor rgb="FF0B5D57"/>
      </patternFill>
    </fill>
    <fill>
      <patternFill patternType="solid">
        <fgColor rgb="FFAAB4BE"/>
        <bgColor rgb="FFB9C2CC"/>
      </patternFill>
    </fill>
    <fill>
      <patternFill patternType="solid">
        <fgColor rgb="FF2E5C8A"/>
        <bgColor rgb="FF0B5D57"/>
      </patternFill>
    </fill>
    <fill>
      <patternFill patternType="solid">
        <fgColor rgb="FFEEF2F6"/>
        <bgColor rgb="FFE4E8EC"/>
      </patternFill>
    </fill>
  </fills>
  <borders count="22">
    <border>
      <left/>
      <right/>
      <top/>
      <bottom/>
      <diagonal/>
    </border>
    <border>
      <left style="thick">
        <color rgb="FF1F3864"/>
      </left>
      <right/>
      <top/>
      <bottom/>
      <diagonal/>
    </border>
    <border>
      <left style="thin">
        <color rgb="FFB9C2CC"/>
      </left>
      <right style="thin">
        <color rgb="FFB9C2CC"/>
      </right>
      <top style="thin">
        <color rgb="FFB9C2CC"/>
      </top>
      <bottom style="thin">
        <color rgb="FFB9C2CC"/>
      </bottom>
      <diagonal/>
    </border>
    <border>
      <left/>
      <right/>
      <top/>
      <bottom style="thin">
        <color rgb="FFD9DEE4"/>
      </bottom>
      <diagonal/>
    </border>
    <border>
      <left/>
      <right style="thin">
        <color rgb="FFB9C2CC"/>
      </right>
      <top/>
      <bottom style="hair">
        <color rgb="FFE4E8EC"/>
      </bottom>
      <diagonal/>
    </border>
    <border>
      <left/>
      <right style="thin">
        <color rgb="FFB9C2CC"/>
      </right>
      <top/>
      <bottom/>
      <diagonal/>
    </border>
    <border>
      <left style="thin"/>
      <right style="thin"/>
      <top style="thin"/>
      <bottom style="thin"/>
      <diagonal/>
    </border>
    <border>
      <left/>
      <right/>
      <top/>
      <bottom style="medium">
        <color rgb="FF1F3864"/>
      </bottom>
      <diagonal/>
    </border>
    <border>
      <left style="thin">
        <color rgb="FFB9C2CC"/>
      </left>
      <right style="thin">
        <color rgb="FFB9C2CC"/>
      </right>
      <top style="thin">
        <color rgb="FFB9C2CC"/>
      </top>
      <bottom style="thin"/>
      <diagonal/>
    </border>
    <border>
      <left style="thin"/>
      <right style="thin"/>
      <top/>
      <bottom style="thin"/>
      <diagonal/>
    </border>
    <border>
      <left/>
      <right/>
      <top style="thin">
        <color rgb="FFB9C2CC"/>
      </top>
      <bottom/>
      <diagonal/>
    </border>
    <border>
      <left/>
      <right style="thin">
        <color rgb="FFB9C2CC"/>
      </right>
      <top style="thin">
        <color rgb="FFB9C2CC"/>
      </top>
      <bottom/>
      <diagonal/>
    </border>
    <border>
      <left/>
      <right/>
      <top style="thin">
        <color rgb="FFB9C2CC"/>
      </top>
      <bottom style="thin">
        <color rgb="FFB9C2CC"/>
      </bottom>
      <diagonal/>
    </border>
    <border>
      <left/>
      <right style="thin">
        <color rgb="FFB9C2CC"/>
      </right>
      <top style="thin">
        <color rgb="FFB9C2CC"/>
      </top>
      <bottom style="thin">
        <color rgb="FFB9C2CC"/>
      </bottom>
      <diagonal/>
    </border>
    <border>
      <left style="thin">
        <color rgb="FFB9C2CC"/>
      </left>
      <right/>
      <top/>
      <bottom/>
      <diagonal/>
    </border>
    <border>
      <left style="thin">
        <color rgb="FFB9C2CC"/>
      </left>
      <right style="thin">
        <color rgb="FFB9C2CC"/>
      </right>
      <top/>
      <bottom/>
      <diagonal/>
    </border>
    <border>
      <left style="thin">
        <color rgb="FFB9C2CC"/>
      </left>
      <right style="thin">
        <color rgb="FFB9C2CC"/>
      </right>
      <top/>
      <bottom style="thin">
        <color rgb="FFB9C2CC"/>
      </bottom>
      <diagonal/>
    </border>
    <border>
      <left/>
      <right/>
      <top/>
      <bottom style="hair">
        <color rgb="FFE4E8EC"/>
      </bottom>
      <diagonal/>
    </border>
    <border>
      <left/>
      <right/>
      <top style="thin"/>
      <bottom/>
      <diagonal/>
    </border>
    <border>
      <left/>
      <right style="thin"/>
      <top style="thin"/>
      <bottom/>
      <diagonal/>
    </border>
    <border>
      <left/>
      <right style="thin"/>
      <top style="thin"/>
      <bottom style="thin"/>
      <diagonal/>
    </border>
    <border>
      <left style="thin">
        <color rgb="FFB9C2CC"/>
      </left>
      <right style="thin">
        <color rgb="FFB9C2CC"/>
      </right>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indent="1"/>
    </xf>
    <xf numFmtId="0" fontId="6" fillId="0" borderId="0" applyAlignment="1" pivotButton="0" quotePrefix="0" xfId="0">
      <alignment horizontal="general" vertical="bottom"/>
    </xf>
    <xf numFmtId="0" fontId="7" fillId="0" borderId="0" applyAlignment="1" pivotButton="0" quotePrefix="0" xfId="0">
      <alignment horizontal="left" vertical="center" indent="1"/>
    </xf>
    <xf numFmtId="0" fontId="8" fillId="3" borderId="0" applyAlignment="1" pivotButton="0" quotePrefix="0" xfId="0">
      <alignment horizontal="left" vertical="center" indent="1"/>
    </xf>
    <xf numFmtId="0" fontId="9" fillId="2" borderId="0" applyAlignment="1" pivotButton="0" quotePrefix="0" xfId="0">
      <alignment horizontal="center" vertical="center"/>
    </xf>
    <xf numFmtId="0" fontId="10" fillId="0" borderId="0" applyAlignment="1" pivotButton="0" quotePrefix="0" xfId="0">
      <alignment horizontal="left" vertical="center" wrapText="1" indent="1"/>
    </xf>
    <xf numFmtId="0" fontId="11" fillId="4" borderId="1" applyAlignment="1" pivotButton="0" quotePrefix="0" xfId="0">
      <alignment horizontal="left" vertical="center" wrapText="1" indent="1"/>
    </xf>
    <xf numFmtId="0" fontId="6" fillId="5" borderId="2" applyAlignment="1" applyProtection="1" pivotButton="0" quotePrefix="0" xfId="0">
      <alignment horizontal="general" vertical="bottom"/>
      <protection locked="0" hidden="0"/>
    </xf>
    <xf numFmtId="0" fontId="12" fillId="0" borderId="0" applyAlignment="1" pivotButton="0" quotePrefix="0" xfId="0">
      <alignment horizontal="general" vertical="center" indent="1"/>
    </xf>
    <xf numFmtId="0" fontId="6" fillId="6" borderId="2" applyAlignment="1" pivotButton="0" quotePrefix="0" xfId="0">
      <alignment horizontal="general" vertical="bottom"/>
    </xf>
    <xf numFmtId="164" fontId="6" fillId="0" borderId="0" applyAlignment="1" pivotButton="0" quotePrefix="0" xfId="0">
      <alignment horizontal="general" vertical="bottom"/>
    </xf>
    <xf numFmtId="0" fontId="6" fillId="7" borderId="2" applyAlignment="1" pivotButton="0" quotePrefix="0" xfId="0">
      <alignment horizontal="general" vertical="bottom"/>
    </xf>
    <xf numFmtId="0" fontId="13" fillId="0" borderId="0" applyAlignment="1" pivotButton="0" quotePrefix="0" xfId="0">
      <alignment horizontal="general" vertical="center" indent="1"/>
    </xf>
    <xf numFmtId="0" fontId="14" fillId="0" borderId="0" applyAlignment="1" pivotButton="0" quotePrefix="0" xfId="0">
      <alignment horizontal="general" vertical="center" wrapText="1" indent="1"/>
    </xf>
    <xf numFmtId="0" fontId="6" fillId="8" borderId="2" applyAlignment="1" pivotButton="0" quotePrefix="0" xfId="0">
      <alignment horizontal="general" vertical="bottom"/>
    </xf>
    <xf numFmtId="0" fontId="6" fillId="9" borderId="2" applyAlignment="1" pivotButton="0" quotePrefix="0" xfId="0">
      <alignment horizontal="general" vertical="bottom"/>
    </xf>
    <xf numFmtId="0" fontId="6" fillId="10" borderId="2" applyAlignment="1" pivotButton="0" quotePrefix="0" xfId="0">
      <alignment horizontal="general" vertical="bottom"/>
    </xf>
    <xf numFmtId="164" fontId="13" fillId="0" borderId="0" applyAlignment="1" pivotButton="0" quotePrefix="0" xfId="0">
      <alignment horizontal="general" vertical="center" indent="1"/>
    </xf>
    <xf numFmtId="164" fontId="15" fillId="0" borderId="0" applyAlignment="1" pivotButton="0" quotePrefix="0" xfId="0">
      <alignment horizontal="general" vertical="center" wrapText="1" indent="1"/>
    </xf>
    <xf numFmtId="0" fontId="15" fillId="0" borderId="0" applyAlignment="1" pivotButton="0" quotePrefix="0" xfId="0">
      <alignment horizontal="right" vertical="center" indent="1"/>
    </xf>
    <xf numFmtId="164" fontId="16" fillId="0" borderId="3" applyAlignment="1" pivotButton="0" quotePrefix="0" xfId="0">
      <alignment horizontal="general" vertical="center" indent="1"/>
    </xf>
    <xf numFmtId="0" fontId="16" fillId="0" borderId="3" applyAlignment="1" pivotButton="0" quotePrefix="0" xfId="0">
      <alignment horizontal="general" vertical="center" indent="1"/>
    </xf>
    <xf numFmtId="0" fontId="15" fillId="0" borderId="0" applyAlignment="1" pivotButton="0" quotePrefix="0" xfId="0">
      <alignment horizontal="general" vertical="center" wrapText="1" indent="1"/>
    </xf>
    <xf numFmtId="0" fontId="17" fillId="2" borderId="2" applyAlignment="1" pivotButton="0" quotePrefix="0" xfId="0">
      <alignment horizontal="center" vertical="center"/>
    </xf>
    <xf numFmtId="0" fontId="17" fillId="2" borderId="2" applyAlignment="1" pivotButton="0" quotePrefix="0" xfId="0">
      <alignment horizontal="general" vertical="center" indent="1"/>
    </xf>
    <xf numFmtId="164" fontId="18" fillId="0" borderId="2" applyAlignment="1" pivotButton="0" quotePrefix="0" xfId="0">
      <alignment horizontal="center" vertical="center"/>
    </xf>
    <xf numFmtId="0" fontId="18" fillId="0" borderId="4" applyAlignment="1" pivotButton="0" quotePrefix="0" xfId="0">
      <alignment horizontal="general" vertical="center" wrapText="1" indent="1"/>
    </xf>
    <xf numFmtId="0" fontId="18" fillId="0" borderId="5" applyAlignment="1" pivotButton="0" quotePrefix="0" xfId="0">
      <alignment horizontal="general" vertical="center" wrapText="1" indent="1"/>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0" borderId="0" applyAlignment="1" applyProtection="1" pivotButton="0" quotePrefix="0" xfId="0">
      <alignment horizontal="general" vertical="bottom"/>
      <protection locked="0" hidden="0"/>
    </xf>
    <xf numFmtId="164" fontId="22" fillId="0" borderId="0" applyAlignment="1" applyProtection="1" pivotButton="0" quotePrefix="0" xfId="0">
      <alignment horizontal="general" vertical="bottom"/>
      <protection locked="0" hidden="0"/>
    </xf>
    <xf numFmtId="0" fontId="22" fillId="0" borderId="0" applyAlignment="1" applyProtection="1" pivotButton="0" quotePrefix="0" xfId="0">
      <alignment horizontal="center" vertical="bottom"/>
      <protection locked="0" hidden="0"/>
    </xf>
    <xf numFmtId="0" fontId="23" fillId="2" borderId="6" applyAlignment="1" pivotButton="0" quotePrefix="0" xfId="0">
      <alignment horizontal="general" vertical="center" indent="1"/>
    </xf>
    <xf numFmtId="0" fontId="22" fillId="0" borderId="0" applyAlignment="1" pivotButton="0" quotePrefix="0" xfId="0">
      <alignment horizontal="general" vertical="bottom"/>
    </xf>
    <xf numFmtId="0" fontId="24" fillId="3" borderId="2" applyAlignment="1" pivotButton="0" quotePrefix="0" xfId="0">
      <alignment horizontal="general" vertical="center" indent="1"/>
    </xf>
    <xf numFmtId="0" fontId="10" fillId="5" borderId="2" applyAlignment="1" applyProtection="1" pivotButton="0" quotePrefix="0" xfId="0">
      <alignment horizontal="center" vertical="center"/>
      <protection locked="0" hidden="0"/>
    </xf>
    <xf numFmtId="0" fontId="23" fillId="2" borderId="2" applyAlignment="1" pivotButton="0" quotePrefix="0" xfId="0">
      <alignment horizontal="general" vertical="center" indent="1"/>
    </xf>
    <xf numFmtId="0" fontId="25" fillId="6" borderId="2" applyAlignment="1" pivotButton="0" quotePrefix="0" xfId="0">
      <alignment horizontal="center" vertical="center"/>
    </xf>
    <xf numFmtId="0" fontId="26" fillId="2" borderId="2" applyAlignment="1" pivotButton="0" quotePrefix="0" xfId="0">
      <alignment horizontal="general" vertical="center" indent="1"/>
    </xf>
    <xf numFmtId="0" fontId="27" fillId="0" borderId="0" applyAlignment="1" pivotButton="0" quotePrefix="0" xfId="0">
      <alignment horizontal="general" vertical="center" wrapText="1"/>
    </xf>
    <xf numFmtId="164" fontId="22" fillId="0" borderId="0" applyAlignment="1" pivotButton="0" quotePrefix="0" xfId="0">
      <alignment horizontal="general" vertical="bottom"/>
    </xf>
    <xf numFmtId="0" fontId="17" fillId="2" borderId="2" applyAlignment="1" pivotButton="0" quotePrefix="0" xfId="0">
      <alignment horizontal="center" vertical="center" wrapText="1"/>
    </xf>
    <xf numFmtId="164" fontId="17" fillId="2" borderId="2" applyAlignment="1" pivotButton="0" quotePrefix="0" xfId="0">
      <alignment horizontal="center" vertical="center" wrapText="1"/>
    </xf>
    <xf numFmtId="0" fontId="12" fillId="5" borderId="2" applyAlignment="1" applyProtection="1" pivotButton="0" quotePrefix="0" xfId="0">
      <alignment horizontal="center" vertical="center"/>
      <protection locked="0" hidden="0"/>
    </xf>
    <xf numFmtId="164" fontId="12" fillId="5" borderId="2" applyAlignment="1" applyProtection="1" pivotButton="0" quotePrefix="0" xfId="0">
      <alignment horizontal="center" vertical="center"/>
      <protection locked="0" hidden="0"/>
    </xf>
    <xf numFmtId="0" fontId="28" fillId="6" borderId="2" applyAlignment="1" pivotButton="0" quotePrefix="0" xfId="0">
      <alignment horizontal="center" vertical="center"/>
    </xf>
    <xf numFmtId="0" fontId="12" fillId="5" borderId="2" applyAlignment="1" applyProtection="1" pivotButton="0" quotePrefix="0" xfId="0">
      <alignment horizontal="center" vertical="center" wrapText="1"/>
      <protection locked="0" hidden="0"/>
    </xf>
    <xf numFmtId="0" fontId="29" fillId="0" borderId="0" applyAlignment="1" pivotButton="0" quotePrefix="0" xfId="0">
      <alignment horizontal="general" vertical="bottom"/>
    </xf>
    <xf numFmtId="0" fontId="29" fillId="0" borderId="0" applyAlignment="1" pivotButton="0" quotePrefix="0" xfId="0">
      <alignment horizontal="left" vertical="bottom"/>
    </xf>
    <xf numFmtId="0" fontId="30" fillId="0" borderId="0" applyAlignment="1" pivotButton="0" quotePrefix="0" xfId="0">
      <alignment horizontal="general" vertical="center"/>
    </xf>
    <xf numFmtId="0" fontId="31" fillId="0" borderId="0" applyAlignment="1" pivotButton="0" quotePrefix="0" xfId="0">
      <alignment horizontal="left" vertical="bottom"/>
    </xf>
    <xf numFmtId="0" fontId="32" fillId="0" borderId="0" applyAlignment="1" pivotButton="0" quotePrefix="0" xfId="0">
      <alignment horizontal="right" vertical="center"/>
    </xf>
    <xf numFmtId="0" fontId="13" fillId="0" borderId="0" applyAlignment="1" pivotButton="0" quotePrefix="0" xfId="0">
      <alignment horizontal="general" vertical="center"/>
    </xf>
    <xf numFmtId="0" fontId="33" fillId="0" borderId="0" applyAlignment="1" pivotButton="0" quotePrefix="0" xfId="0">
      <alignment horizontal="general" vertical="center"/>
    </xf>
    <xf numFmtId="0" fontId="4" fillId="0" borderId="7" applyAlignment="1" pivotButton="0" quotePrefix="0" xfId="0">
      <alignment horizontal="general" vertical="bottom"/>
    </xf>
    <xf numFmtId="0" fontId="23" fillId="2" borderId="8" applyAlignment="1" pivotButton="0" quotePrefix="0" xfId="0">
      <alignment horizontal="center" vertical="center"/>
    </xf>
    <xf numFmtId="0" fontId="23" fillId="2" borderId="2" applyAlignment="1" pivotButton="0" quotePrefix="0" xfId="0">
      <alignment horizontal="center" vertical="center"/>
    </xf>
    <xf numFmtId="0" fontId="34" fillId="11" borderId="2" applyAlignment="1" pivotButton="0" quotePrefix="0" xfId="0">
      <alignment horizontal="center" vertical="center"/>
    </xf>
    <xf numFmtId="0" fontId="4" fillId="0" borderId="9" applyAlignment="1" pivotButton="0" quotePrefix="0" xfId="0">
      <alignment horizontal="general" vertical="bottom" wrapText="1"/>
    </xf>
    <xf numFmtId="165" fontId="18" fillId="0" borderId="2" applyAlignment="1" pivotButton="0" quotePrefix="0" xfId="0">
      <alignment horizontal="center" vertical="center" shrinkToFit="1"/>
    </xf>
    <xf numFmtId="165" fontId="12" fillId="0" borderId="2" applyAlignment="1" pivotButton="0" quotePrefix="0" xfId="0">
      <alignment horizontal="center" vertical="center"/>
    </xf>
    <xf numFmtId="0" fontId="12" fillId="0" borderId="2" applyAlignment="1" pivotButton="0" quotePrefix="0" xfId="0">
      <alignment horizontal="center" vertical="center"/>
    </xf>
    <xf numFmtId="165" fontId="18" fillId="12" borderId="2" applyAlignment="1" pivotButton="0" quotePrefix="0" xfId="0">
      <alignment horizontal="center" vertical="center" shrinkToFit="1"/>
    </xf>
    <xf numFmtId="165" fontId="12" fillId="12" borderId="2" applyAlignment="1" pivotButton="0" quotePrefix="0" xfId="0">
      <alignment horizontal="center" vertical="center"/>
    </xf>
    <xf numFmtId="0" fontId="12" fillId="12" borderId="2" applyAlignment="1" pivotButton="0" quotePrefix="0" xfId="0">
      <alignment horizontal="center" vertical="center"/>
    </xf>
    <xf numFmtId="164" fontId="27" fillId="0" borderId="0" applyAlignment="1" pivotButton="0" quotePrefix="0" xfId="0">
      <alignment horizontal="general" vertical="center" wrapText="1"/>
    </xf>
    <xf numFmtId="164" fontId="31" fillId="0" borderId="0" applyAlignment="1" pivotButton="0" quotePrefix="0" xfId="0">
      <alignment horizontal="left" vertical="bottom" wrapText="1"/>
    </xf>
    <xf numFmtId="0" fontId="31" fillId="0" borderId="0" applyAlignment="1" pivotButton="0" quotePrefix="0" xfId="0">
      <alignment horizontal="general" vertical="bottom" wrapText="1"/>
    </xf>
    <xf numFmtId="164" fontId="35" fillId="0" borderId="0" applyAlignment="1" pivotButton="0" quotePrefix="0" xfId="0">
      <alignment horizontal="general" vertical="center"/>
    </xf>
    <xf numFmtId="164" fontId="29" fillId="0" borderId="0" applyAlignment="1" pivotButton="0" quotePrefix="0" xfId="0">
      <alignment horizontal="left" vertical="bottom" wrapText="1"/>
    </xf>
    <xf numFmtId="0" fontId="29" fillId="0" borderId="0" applyAlignment="1" pivotButton="0" quotePrefix="0" xfId="0">
      <alignment horizontal="general" vertical="bottom" wrapText="1"/>
    </xf>
    <xf numFmtId="0" fontId="29" fillId="0" borderId="0" applyAlignment="1" pivotButton="0" quotePrefix="0" xfId="0">
      <alignment horizontal="left" vertical="bottom" wrapText="1"/>
    </xf>
    <xf numFmtId="164" fontId="29" fillId="0" borderId="0" applyAlignment="1" pivotButton="0" quotePrefix="0" xfId="0">
      <alignment horizontal="left" vertical="bottom"/>
    </xf>
    <xf numFmtId="0" fontId="0" fillId="0" borderId="0" applyAlignment="1" pivotButton="0" quotePrefix="0" xfId="0">
      <alignment horizontal="general" vertical="bottom"/>
    </xf>
    <xf numFmtId="0" fontId="34" fillId="2" borderId="6" applyAlignment="1" pivotButton="0" quotePrefix="0" xfId="0">
      <alignment horizontal="center" vertical="center"/>
    </xf>
    <xf numFmtId="0" fontId="34" fillId="2" borderId="0" applyAlignment="1" pivotButton="0" quotePrefix="0" xfId="0">
      <alignment horizontal="center" vertical="center"/>
    </xf>
    <xf numFmtId="0" fontId="29" fillId="0" borderId="0" applyAlignment="1" pivotButton="0" quotePrefix="0" xfId="0">
      <alignment horizontal="right" vertical="bottom"/>
    </xf>
    <xf numFmtId="0" fontId="18" fillId="0" borderId="6" applyAlignment="1" pivotButton="0" quotePrefix="0" xfId="0">
      <alignment horizontal="center" vertical="center"/>
    </xf>
    <xf numFmtId="0" fontId="18" fillId="0" borderId="0" applyAlignment="1" pivotButton="0" quotePrefix="0" xfId="0">
      <alignment horizontal="center" vertical="center"/>
    </xf>
    <xf numFmtId="164" fontId="18" fillId="0" borderId="6" applyAlignment="1" pivotButton="0" quotePrefix="0" xfId="0">
      <alignment horizontal="center" vertical="center"/>
    </xf>
    <xf numFmtId="164" fontId="29" fillId="0" borderId="0" applyAlignment="1" pivotButton="0" quotePrefix="0" xfId="0">
      <alignment horizontal="right" vertical="bottom"/>
    </xf>
    <xf numFmtId="164" fontId="29" fillId="0" borderId="0" applyAlignment="1" pivotButton="0" quotePrefix="0" xfId="0">
      <alignment horizontal="general" vertical="bottom"/>
    </xf>
    <xf numFmtId="1" fontId="18" fillId="0" borderId="6" applyAlignment="1" pivotButton="0" quotePrefix="0" xfId="0">
      <alignment horizontal="center" vertical="center"/>
    </xf>
    <xf numFmtId="1" fontId="29"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pivotButton="0" quotePrefix="0" xfId="0"/>
    <xf numFmtId="0" fontId="5" fillId="2" borderId="0" applyAlignment="1" pivotButton="0" quotePrefix="0" xfId="0">
      <alignment horizontal="left" vertical="center" indent="1"/>
    </xf>
    <xf numFmtId="0" fontId="6" fillId="0" borderId="0" applyAlignment="1" pivotButton="0" quotePrefix="0" xfId="0">
      <alignment horizontal="general" vertical="bottom"/>
    </xf>
    <xf numFmtId="0" fontId="7" fillId="0" borderId="0" applyAlignment="1" pivotButton="0" quotePrefix="0" xfId="0">
      <alignment horizontal="left" vertical="center" indent="1"/>
    </xf>
    <xf numFmtId="0" fontId="8" fillId="3" borderId="0" applyAlignment="1" pivotButton="0" quotePrefix="0" xfId="0">
      <alignment horizontal="left" vertical="center" indent="1"/>
    </xf>
    <xf numFmtId="0" fontId="9" fillId="2" borderId="0" applyAlignment="1" pivotButton="0" quotePrefix="0" xfId="0">
      <alignment horizontal="center" vertical="center"/>
    </xf>
    <xf numFmtId="0" fontId="10" fillId="0" borderId="0" applyAlignment="1" pivotButton="0" quotePrefix="0" xfId="0">
      <alignment horizontal="left" vertical="center" wrapText="1" indent="1"/>
    </xf>
    <xf numFmtId="0" fontId="11" fillId="4" borderId="1" applyAlignment="1" pivotButton="0" quotePrefix="0" xfId="0">
      <alignment horizontal="left" vertical="center" wrapText="1" indent="1"/>
    </xf>
    <xf numFmtId="0" fontId="6" fillId="5" borderId="2" applyAlignment="1" applyProtection="1" pivotButton="0" quotePrefix="0" xfId="0">
      <alignment horizontal="general" vertical="bottom"/>
      <protection locked="0" hidden="0"/>
    </xf>
    <xf numFmtId="0" fontId="12" fillId="0" borderId="0" applyAlignment="1" pivotButton="0" quotePrefix="0" xfId="0">
      <alignment horizontal="general" vertical="center" indent="1"/>
    </xf>
    <xf numFmtId="0" fontId="6" fillId="6" borderId="2" applyAlignment="1" pivotButton="0" quotePrefix="0" xfId="0">
      <alignment horizontal="general" vertical="bottom"/>
    </xf>
    <xf numFmtId="164" fontId="6" fillId="0" borderId="0" applyAlignment="1" pivotButton="0" quotePrefix="0" xfId="0">
      <alignment horizontal="general" vertical="bottom"/>
    </xf>
    <xf numFmtId="0" fontId="6" fillId="7" borderId="2" applyAlignment="1" pivotButton="0" quotePrefix="0" xfId="0">
      <alignment horizontal="general" vertical="bottom"/>
    </xf>
    <xf numFmtId="0" fontId="13" fillId="0" borderId="0" applyAlignment="1" pivotButton="0" quotePrefix="0" xfId="0">
      <alignment horizontal="general" vertical="center" indent="1"/>
    </xf>
    <xf numFmtId="0" fontId="14" fillId="0" borderId="0" applyAlignment="1" pivotButton="0" quotePrefix="0" xfId="0">
      <alignment horizontal="general" vertical="center" wrapText="1" indent="1"/>
    </xf>
    <xf numFmtId="0" fontId="6" fillId="8" borderId="2" applyAlignment="1" pivotButton="0" quotePrefix="0" xfId="0">
      <alignment horizontal="general" vertical="bottom"/>
    </xf>
    <xf numFmtId="0" fontId="6" fillId="9" borderId="2" applyAlignment="1" pivotButton="0" quotePrefix="0" xfId="0">
      <alignment horizontal="general" vertical="bottom"/>
    </xf>
    <xf numFmtId="0" fontId="6" fillId="10" borderId="2" applyAlignment="1" pivotButton="0" quotePrefix="0" xfId="0">
      <alignment horizontal="general" vertical="bottom"/>
    </xf>
    <xf numFmtId="164" fontId="13" fillId="0" borderId="0" applyAlignment="1" pivotButton="0" quotePrefix="0" xfId="0">
      <alignment horizontal="general" vertical="center" indent="1"/>
    </xf>
    <xf numFmtId="164" fontId="15" fillId="0" borderId="0" applyAlignment="1" pivotButton="0" quotePrefix="0" xfId="0">
      <alignment horizontal="general" vertical="center" wrapText="1" indent="1"/>
    </xf>
    <xf numFmtId="0" fontId="15" fillId="0" borderId="0" applyAlignment="1" pivotButton="0" quotePrefix="0" xfId="0">
      <alignment horizontal="right" vertical="center" indent="1"/>
    </xf>
    <xf numFmtId="164" fontId="16" fillId="0" borderId="3" applyAlignment="1" pivotButton="0" quotePrefix="0" xfId="0">
      <alignment horizontal="general" vertical="center" indent="1"/>
    </xf>
    <xf numFmtId="0" fontId="0" fillId="0" borderId="3" pivotButton="0" quotePrefix="0" xfId="0"/>
    <xf numFmtId="0" fontId="16" fillId="0" borderId="3" applyAlignment="1" pivotButton="0" quotePrefix="0" xfId="0">
      <alignment horizontal="general" vertical="center" indent="1"/>
    </xf>
    <xf numFmtId="0" fontId="15" fillId="0" borderId="0" applyAlignment="1" pivotButton="0" quotePrefix="0" xfId="0">
      <alignment horizontal="general" vertical="center" wrapText="1" indent="1"/>
    </xf>
    <xf numFmtId="0" fontId="17" fillId="2" borderId="2" applyAlignment="1" pivotButton="0" quotePrefix="0" xfId="0">
      <alignment horizontal="center" vertical="center"/>
    </xf>
    <xf numFmtId="0" fontId="17" fillId="2" borderId="2" applyAlignment="1" pivotButton="0" quotePrefix="0" xfId="0">
      <alignment horizontal="general" vertical="center" indent="1"/>
    </xf>
    <xf numFmtId="0" fontId="0" fillId="0" borderId="12" pivotButton="0" quotePrefix="0" xfId="0"/>
    <xf numFmtId="0" fontId="0" fillId="0" borderId="13" pivotButton="0" quotePrefix="0" xfId="0"/>
    <xf numFmtId="164" fontId="18" fillId="0" borderId="2" applyAlignment="1" pivotButton="0" quotePrefix="0" xfId="0">
      <alignment horizontal="center" vertical="center"/>
    </xf>
    <xf numFmtId="0" fontId="18" fillId="0" borderId="4" applyAlignment="1" pivotButton="0" quotePrefix="0" xfId="0">
      <alignment horizontal="general" vertical="center" wrapText="1" indent="1"/>
    </xf>
    <xf numFmtId="0" fontId="0" fillId="0" borderId="17" pivotButton="0" quotePrefix="0" xfId="0"/>
    <xf numFmtId="0" fontId="0" fillId="0" borderId="4" pivotButton="0" quotePrefix="0" xfId="0"/>
    <xf numFmtId="0" fontId="0" fillId="0" borderId="15" pivotButton="0" quotePrefix="0" xfId="0"/>
    <xf numFmtId="0" fontId="0" fillId="0" borderId="16" pivotButton="0" quotePrefix="0" xfId="0"/>
    <xf numFmtId="0" fontId="18" fillId="0" borderId="5" applyAlignment="1" pivotButton="0" quotePrefix="0" xfId="0">
      <alignment horizontal="general" vertical="center" wrapText="1" indent="1"/>
    </xf>
    <xf numFmtId="0" fontId="0" fillId="0" borderId="5" pivotButton="0" quotePrefix="0" xfId="0"/>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0" borderId="0" applyAlignment="1" applyProtection="1" pivotButton="0" quotePrefix="0" xfId="0">
      <alignment horizontal="general" vertical="bottom"/>
      <protection locked="0" hidden="0"/>
    </xf>
    <xf numFmtId="164" fontId="22" fillId="0" borderId="0" applyAlignment="1" applyProtection="1" pivotButton="0" quotePrefix="0" xfId="0">
      <alignment horizontal="general" vertical="bottom"/>
      <protection locked="0" hidden="0"/>
    </xf>
    <xf numFmtId="0" fontId="22" fillId="0" borderId="0" applyAlignment="1" applyProtection="1" pivotButton="0" quotePrefix="0" xfId="0">
      <alignment horizontal="center" vertical="bottom"/>
      <protection locked="0" hidden="0"/>
    </xf>
    <xf numFmtId="0" fontId="23" fillId="2" borderId="6" applyAlignment="1" pivotButton="0" quotePrefix="0" xfId="0">
      <alignment horizontal="general" vertical="center" indent="1"/>
    </xf>
    <xf numFmtId="0" fontId="0" fillId="0" borderId="20" pivotButton="0" quotePrefix="0" xfId="0"/>
    <xf numFmtId="0" fontId="22" fillId="0" borderId="0" applyAlignment="1" pivotButton="0" quotePrefix="0" xfId="0">
      <alignment horizontal="general" vertical="bottom"/>
    </xf>
    <xf numFmtId="0" fontId="24" fillId="3" borderId="2" applyAlignment="1" pivotButton="0" quotePrefix="0" xfId="0">
      <alignment horizontal="general" vertical="center" indent="1"/>
    </xf>
    <xf numFmtId="0" fontId="10" fillId="5" borderId="2" applyAlignment="1" applyProtection="1" pivotButton="0" quotePrefix="0" xfId="0">
      <alignment horizontal="center" vertical="center"/>
      <protection locked="0" hidden="0"/>
    </xf>
    <xf numFmtId="0" fontId="23" fillId="2" borderId="2" applyAlignment="1" pivotButton="0" quotePrefix="0" xfId="0">
      <alignment horizontal="general" vertical="center" indent="1"/>
    </xf>
    <xf numFmtId="0" fontId="25" fillId="6" borderId="2" applyAlignment="1" pivotButton="0" quotePrefix="0" xfId="0">
      <alignment horizontal="center" vertical="center"/>
    </xf>
    <xf numFmtId="0" fontId="26" fillId="2" borderId="2" applyAlignment="1" pivotButton="0" quotePrefix="0" xfId="0">
      <alignment horizontal="general" vertical="center" indent="1"/>
    </xf>
    <xf numFmtId="0" fontId="27" fillId="0" borderId="0" applyAlignment="1" pivotButton="0" quotePrefix="0" xfId="0">
      <alignment horizontal="general" vertical="center" wrapText="1"/>
    </xf>
    <xf numFmtId="164" fontId="22" fillId="0" borderId="0" applyAlignment="1" pivotButton="0" quotePrefix="0" xfId="0">
      <alignment horizontal="general" vertical="bottom"/>
    </xf>
    <xf numFmtId="0" fontId="17" fillId="2" borderId="2" applyAlignment="1" pivotButton="0" quotePrefix="0" xfId="0">
      <alignment horizontal="center" vertical="center" wrapText="1"/>
    </xf>
    <xf numFmtId="164" fontId="17" fillId="2" borderId="2" applyAlignment="1" pivotButton="0" quotePrefix="0" xfId="0">
      <alignment horizontal="center" vertical="center" wrapText="1"/>
    </xf>
    <xf numFmtId="0" fontId="12" fillId="5" borderId="2" applyAlignment="1" applyProtection="1" pivotButton="0" quotePrefix="0" xfId="0">
      <alignment horizontal="center" vertical="center"/>
      <protection locked="0" hidden="0"/>
    </xf>
    <xf numFmtId="164" fontId="12" fillId="5" borderId="2" applyAlignment="1" applyProtection="1" pivotButton="0" quotePrefix="0" xfId="0">
      <alignment horizontal="center" vertical="center"/>
      <protection locked="0" hidden="0"/>
    </xf>
    <xf numFmtId="0" fontId="28" fillId="6" borderId="2" applyAlignment="1" pivotButton="0" quotePrefix="0" xfId="0">
      <alignment horizontal="center" vertical="center"/>
    </xf>
    <xf numFmtId="0" fontId="12" fillId="5" borderId="2" applyAlignment="1" applyProtection="1" pivotButton="0" quotePrefix="0" xfId="0">
      <alignment horizontal="center" vertical="center" wrapText="1"/>
      <protection locked="0" hidden="0"/>
    </xf>
    <xf numFmtId="0" fontId="0" fillId="0" borderId="0" applyProtection="1" pivotButton="0" quotePrefix="0" xfId="0">
      <protection locked="0" hidden="0"/>
    </xf>
    <xf numFmtId="0" fontId="29" fillId="0" borderId="0" applyAlignment="1" pivotButton="0" quotePrefix="0" xfId="0">
      <alignment horizontal="general" vertical="bottom"/>
    </xf>
    <xf numFmtId="0" fontId="29" fillId="0" borderId="0" applyAlignment="1" pivotButton="0" quotePrefix="0" xfId="0">
      <alignment horizontal="left" vertical="bottom"/>
    </xf>
    <xf numFmtId="0" fontId="30" fillId="0" borderId="0" applyAlignment="1" pivotButton="0" quotePrefix="0" xfId="0">
      <alignment horizontal="general" vertical="center"/>
    </xf>
    <xf numFmtId="0" fontId="31" fillId="0" borderId="0" applyAlignment="1" pivotButton="0" quotePrefix="0" xfId="0">
      <alignment horizontal="left" vertical="bottom"/>
    </xf>
    <xf numFmtId="0" fontId="32" fillId="0" borderId="0" applyAlignment="1" pivotButton="0" quotePrefix="0" xfId="0">
      <alignment horizontal="right" vertical="center"/>
    </xf>
    <xf numFmtId="0" fontId="13" fillId="0" borderId="0" applyAlignment="1" pivotButton="0" quotePrefix="0" xfId="0">
      <alignment horizontal="general" vertical="center"/>
    </xf>
    <xf numFmtId="0" fontId="33" fillId="0" borderId="0" applyAlignment="1" pivotButton="0" quotePrefix="0" xfId="0">
      <alignment horizontal="general" vertical="center"/>
    </xf>
    <xf numFmtId="0" fontId="4" fillId="0" borderId="7" applyAlignment="1" pivotButton="0" quotePrefix="0" xfId="0">
      <alignment horizontal="general" vertical="bottom"/>
    </xf>
    <xf numFmtId="0" fontId="23" fillId="2" borderId="8" applyAlignment="1" pivotButton="0" quotePrefix="0" xfId="0">
      <alignment horizontal="center" vertical="center"/>
    </xf>
    <xf numFmtId="0" fontId="23" fillId="2" borderId="2" applyAlignment="1" pivotButton="0" quotePrefix="0" xfId="0">
      <alignment horizontal="center" vertical="center"/>
    </xf>
    <xf numFmtId="0" fontId="0" fillId="0" borderId="21" pivotButton="0" quotePrefix="0" xfId="0"/>
    <xf numFmtId="0" fontId="34" fillId="11" borderId="2" applyAlignment="1" pivotButton="0" quotePrefix="0" xfId="0">
      <alignment horizontal="center" vertical="center"/>
    </xf>
    <xf numFmtId="0" fontId="4" fillId="0" borderId="9" applyAlignment="1" pivotButton="0" quotePrefix="0" xfId="0">
      <alignment horizontal="general" vertical="bottom" wrapText="1"/>
    </xf>
    <xf numFmtId="165" fontId="18" fillId="0" borderId="2" applyAlignment="1" pivotButton="0" quotePrefix="0" xfId="0">
      <alignment horizontal="center" vertical="center" shrinkToFit="1"/>
    </xf>
    <xf numFmtId="165" fontId="12" fillId="0" borderId="2" applyAlignment="1" pivotButton="0" quotePrefix="0" xfId="0">
      <alignment horizontal="center" vertical="center"/>
    </xf>
    <xf numFmtId="0" fontId="12" fillId="0" borderId="2" applyAlignment="1" pivotButton="0" quotePrefix="0" xfId="0">
      <alignment horizontal="center" vertical="center"/>
    </xf>
    <xf numFmtId="165" fontId="18" fillId="12" borderId="2" applyAlignment="1" pivotButton="0" quotePrefix="0" xfId="0">
      <alignment horizontal="center" vertical="center" shrinkToFit="1"/>
    </xf>
    <xf numFmtId="165" fontId="12" fillId="12" borderId="2" applyAlignment="1" pivotButton="0" quotePrefix="0" xfId="0">
      <alignment horizontal="center" vertical="center"/>
    </xf>
    <xf numFmtId="0" fontId="12" fillId="12" borderId="2" applyAlignment="1" pivotButton="0" quotePrefix="0" xfId="0">
      <alignment horizontal="center" vertical="center"/>
    </xf>
    <xf numFmtId="164" fontId="27" fillId="0" borderId="0" applyAlignment="1" pivotButton="0" quotePrefix="0" xfId="0">
      <alignment horizontal="general" vertical="center" wrapText="1"/>
    </xf>
    <xf numFmtId="164" fontId="31" fillId="0" borderId="0" applyAlignment="1" pivotButton="0" quotePrefix="0" xfId="0">
      <alignment horizontal="left" vertical="bottom" wrapText="1"/>
    </xf>
    <xf numFmtId="0" fontId="31" fillId="0" borderId="0" applyAlignment="1" pivotButton="0" quotePrefix="0" xfId="0">
      <alignment horizontal="general" vertical="bottom" wrapText="1"/>
    </xf>
    <xf numFmtId="164" fontId="35" fillId="0" borderId="0" applyAlignment="1" pivotButton="0" quotePrefix="0" xfId="0">
      <alignment horizontal="general" vertical="center"/>
    </xf>
    <xf numFmtId="164" fontId="29" fillId="0" borderId="0" applyAlignment="1" pivotButton="0" quotePrefix="0" xfId="0">
      <alignment horizontal="left" vertical="bottom" wrapText="1"/>
    </xf>
    <xf numFmtId="0" fontId="29" fillId="0" borderId="0" applyAlignment="1" pivotButton="0" quotePrefix="0" xfId="0">
      <alignment horizontal="general" vertical="bottom" wrapText="1"/>
    </xf>
    <xf numFmtId="0" fontId="29" fillId="0" borderId="0" applyAlignment="1" pivotButton="0" quotePrefix="0" xfId="0">
      <alignment horizontal="left" vertical="bottom" wrapText="1"/>
    </xf>
    <xf numFmtId="164" fontId="29" fillId="0" borderId="0" applyAlignment="1" pivotButton="0" quotePrefix="0" xfId="0">
      <alignment horizontal="left" vertical="bottom"/>
    </xf>
    <xf numFmtId="0" fontId="0" fillId="0" borderId="0" applyAlignment="1" pivotButton="0" quotePrefix="0" xfId="0">
      <alignment horizontal="general" vertical="bottom"/>
    </xf>
    <xf numFmtId="0" fontId="34" fillId="2" borderId="6" applyAlignment="1" pivotButton="0" quotePrefix="0" xfId="0">
      <alignment horizontal="center" vertical="center"/>
    </xf>
    <xf numFmtId="0" fontId="34" fillId="2" borderId="0" applyAlignment="1" pivotButton="0" quotePrefix="0" xfId="0">
      <alignment horizontal="center" vertical="center"/>
    </xf>
    <xf numFmtId="0" fontId="29" fillId="0" borderId="0" applyAlignment="1" pivotButton="0" quotePrefix="0" xfId="0">
      <alignment horizontal="right" vertical="bottom"/>
    </xf>
    <xf numFmtId="0" fontId="18" fillId="0" borderId="6" applyAlignment="1" pivotButton="0" quotePrefix="0" xfId="0">
      <alignment horizontal="center" vertical="center"/>
    </xf>
    <xf numFmtId="0" fontId="18" fillId="0" borderId="0" applyAlignment="1" pivotButton="0" quotePrefix="0" xfId="0">
      <alignment horizontal="center" vertical="center"/>
    </xf>
    <xf numFmtId="164" fontId="18" fillId="0" borderId="6" applyAlignment="1" pivotButton="0" quotePrefix="0" xfId="0">
      <alignment horizontal="center" vertical="center"/>
    </xf>
    <xf numFmtId="164" fontId="29" fillId="0" borderId="0" applyAlignment="1" pivotButton="0" quotePrefix="0" xfId="0">
      <alignment horizontal="right" vertical="bottom"/>
    </xf>
    <xf numFmtId="164" fontId="29" fillId="0" borderId="0" applyAlignment="1" pivotButton="0" quotePrefix="0" xfId="0">
      <alignment horizontal="general" vertical="bottom"/>
    </xf>
    <xf numFmtId="1" fontId="18" fillId="0" borderId="6" applyAlignment="1" pivotButton="0" quotePrefix="0" xfId="0">
      <alignment horizontal="center" vertical="center"/>
    </xf>
    <xf numFmtId="1" fontId="2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FFF7C2"/>
          <bgColor rgb="FF000000"/>
        </patternFill>
      </fill>
    </dxf>
    <dxf>
      <fill>
        <patternFill patternType="solid">
          <fgColor rgb="FF1A2B3A"/>
          <bgColor rgb="FF000000"/>
        </patternFill>
      </fill>
    </dxf>
    <dxf>
      <fill>
        <patternFill patternType="solid">
          <fgColor rgb="FFFFFFFF"/>
          <bgColor rgb="FF000000"/>
        </patternFill>
      </fill>
    </dxf>
    <dxf>
      <fill>
        <patternFill patternType="solid">
          <fgColor rgb="FFC9EEEA"/>
          <bgColor rgb="FF000000"/>
        </patternFill>
      </fill>
    </dxf>
    <dxf>
      <fill>
        <patternFill patternType="solid">
          <fgColor rgb="FF0B5D57"/>
          <bgColor rgb="FF000000"/>
        </patternFill>
      </fill>
    </dxf>
    <dxf>
      <font>
        <name val="Arial"/>
        <charset val="1"/>
        <family val="0"/>
        <b val="1"/>
        <color rgb="FF9C2B2B"/>
      </font>
      <fill>
        <patternFill>
          <bgColor rgb="FFF8CBAD"/>
        </patternFill>
      </fill>
      <border>
        <left style="thin"/>
        <right style="thin"/>
        <top style="thin"/>
        <bottom style="thin"/>
        <diagonal/>
      </bord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5D57"/>
      <rgbColor rgb="FFB9C2CC"/>
      <rgbColor rgb="FF5A6472"/>
      <rgbColor rgb="FF9999FF"/>
      <rgbColor rgb="FF993366"/>
      <rgbColor rgb="FFFFF7C2"/>
      <rgbColor rgb="FFC9EEEA"/>
      <rgbColor rgb="FF660066"/>
      <rgbColor rgb="FFFF8080"/>
      <rgbColor rgb="FF0066CC"/>
      <rgbColor rgb="FFD9DEE4"/>
      <rgbColor rgb="FF000080"/>
      <rgbColor rgb="FFFF00FF"/>
      <rgbColor rgb="FFFFFF00"/>
      <rgbColor rgb="FF00FFFF"/>
      <rgbColor rgb="FF800080"/>
      <rgbColor rgb="FF800000"/>
      <rgbColor rgb="FF008080"/>
      <rgbColor rgb="FF0000FF"/>
      <rgbColor rgb="FF00CCFF"/>
      <rgbColor rgb="FFEEF2F6"/>
      <rgbColor rgb="FFE4E8EC"/>
      <rgbColor rgb="FFFFF3CD"/>
      <rgbColor rgb="FFD9E2F3"/>
      <rgbColor rgb="FFFF99CC"/>
      <rgbColor rgb="FFCC99FF"/>
      <rgbColor rgb="FFF8CBAD"/>
      <rgbColor rgb="FF3366FF"/>
      <rgbColor rgb="FF33CCCC"/>
      <rgbColor rgb="FF99CC00"/>
      <rgbColor rgb="FFFFC000"/>
      <rgbColor rgb="FFFF9900"/>
      <rgbColor rgb="FFFF6600"/>
      <rgbColor rgb="FF5B6B82"/>
      <rgbColor rgb="FFAAB4BE"/>
      <rgbColor rgb="FF1F3864"/>
      <rgbColor rgb="FF2E7D46"/>
      <rgbColor rgb="FF003300"/>
      <rgbColor rgb="FF333300"/>
      <rgbColor rgb="FF9C2B2B"/>
      <rgbColor rgb="FF993366"/>
      <rgbColor rgb="FF2E5C8A"/>
      <rgbColor rgb="FF1A2B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Table1" displayName="Table1" ref="A9:L10" headerRowCount="1" totalsRowCount="0" totalsRowShown="0">
  <autoFilter ref="A9:L10"/>
  <tableColumns count="12">
    <tableColumn id="1" name="MRN"/>
    <tableColumn id="2" name="Last name"/>
    <tableColumn id="3" name="First Name"/>
    <tableColumn id="4" name="Stop Warfarin On:"/>
    <tableColumn id="5" name="Surgery Date"/>
    <tableColumn id="6" name="Lab Date:"/>
    <tableColumn id="7" name="Lab Loc:"/>
    <tableColumn id="8" name="Type of Surgery"/>
    <tableColumn id="9" name="Lovenox Dose (mg)"/>
    <tableColumn id="10" name="Once or Twice Daily dosing?"/>
    <tableColumn id="11" name="Next Syringe Size"/>
    <tableColumn id="12" name="Prepared B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filterMode="0">
    <outlinePr summaryBelow="1" summaryRight="1"/>
    <pageSetUpPr fitToPage="1"/>
  </sheetPr>
  <dimension ref="A1:L4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B37" activeCellId="0" sqref="B37"/>
    </sheetView>
  </sheetViews>
  <sheetFormatPr baseColWidth="8" defaultColWidth="9.1640625" defaultRowHeight="18" customHeight="0" zeroHeight="0" outlineLevelRow="0"/>
  <cols>
    <col width="9.52" customWidth="1" style="88" min="1" max="1"/>
    <col width="13.16" customWidth="1" style="88" min="2" max="257"/>
    <col width="11.67" customWidth="1" style="88" min="258" max="258"/>
    <col width="9.16" customWidth="1" style="88" min="259" max="513"/>
    <col width="11.67" customWidth="1" style="88" min="514" max="514"/>
    <col width="9.16" customWidth="1" style="88" min="515" max="769"/>
    <col width="11.67" customWidth="1" style="88" min="770" max="770"/>
    <col width="9.16" customWidth="1" style="88" min="771" max="1025"/>
    <col width="11.67" customWidth="1" style="88" min="1026" max="1026"/>
    <col width="9.16" customWidth="1" style="88" min="1027" max="1281"/>
    <col width="11.67" customWidth="1" style="88" min="1282" max="1282"/>
    <col width="9.16" customWidth="1" style="88" min="1283" max="1537"/>
    <col width="11.67" customWidth="1" style="88" min="1538" max="1538"/>
    <col width="9.16" customWidth="1" style="88" min="1539" max="1793"/>
    <col width="11.67" customWidth="1" style="88" min="1794" max="1794"/>
    <col width="9.16" customWidth="1" style="88" min="1795" max="2049"/>
    <col width="11.67" customWidth="1" style="88" min="2050" max="2050"/>
    <col width="9.16" customWidth="1" style="88" min="2051" max="2305"/>
    <col width="11.67" customWidth="1" style="88" min="2306" max="2306"/>
    <col width="9.16" customWidth="1" style="88" min="2307" max="2561"/>
    <col width="11.67" customWidth="1" style="88" min="2562" max="2562"/>
    <col width="9.16" customWidth="1" style="88" min="2563" max="2817"/>
    <col width="11.67" customWidth="1" style="88" min="2818" max="2818"/>
    <col width="9.16" customWidth="1" style="88" min="2819" max="3073"/>
    <col width="11.67" customWidth="1" style="88" min="3074" max="3074"/>
    <col width="9.16" customWidth="1" style="88" min="3075" max="3329"/>
    <col width="11.67" customWidth="1" style="88" min="3330" max="3330"/>
    <col width="9.16" customWidth="1" style="88" min="3331" max="3585"/>
    <col width="11.67" customWidth="1" style="88" min="3586" max="3586"/>
    <col width="9.16" customWidth="1" style="88" min="3587" max="3841"/>
    <col width="11.67" customWidth="1" style="88" min="3842" max="3842"/>
    <col width="9.16" customWidth="1" style="88" min="3843" max="4097"/>
    <col width="11.67" customWidth="1" style="88" min="4098" max="4098"/>
    <col width="9.16" customWidth="1" style="88" min="4099" max="4353"/>
    <col width="11.67" customWidth="1" style="88" min="4354" max="4354"/>
    <col width="9.16" customWidth="1" style="88" min="4355" max="4609"/>
    <col width="11.67" customWidth="1" style="88" min="4610" max="4610"/>
    <col width="9.16" customWidth="1" style="88" min="4611" max="4865"/>
    <col width="11.67" customWidth="1" style="88" min="4866" max="4866"/>
    <col width="9.16" customWidth="1" style="88" min="4867" max="5121"/>
    <col width="11.67" customWidth="1" style="88" min="5122" max="5122"/>
    <col width="9.16" customWidth="1" style="88" min="5123" max="5377"/>
    <col width="11.67" customWidth="1" style="88" min="5378" max="5378"/>
    <col width="9.16" customWidth="1" style="88" min="5379" max="5633"/>
    <col width="11.67" customWidth="1" style="88" min="5634" max="5634"/>
    <col width="9.16" customWidth="1" style="88" min="5635" max="5889"/>
    <col width="11.67" customWidth="1" style="88" min="5890" max="5890"/>
    <col width="9.16" customWidth="1" style="88" min="5891" max="6145"/>
    <col width="11.67" customWidth="1" style="88" min="6146" max="6146"/>
    <col width="9.16" customWidth="1" style="88" min="6147" max="6401"/>
    <col width="11.67" customWidth="1" style="88" min="6402" max="6402"/>
    <col width="9.16" customWidth="1" style="88" min="6403" max="6657"/>
    <col width="11.67" customWidth="1" style="88" min="6658" max="6658"/>
    <col width="9.16" customWidth="1" style="88" min="6659" max="6913"/>
    <col width="11.67" customWidth="1" style="88" min="6914" max="6914"/>
    <col width="9.16" customWidth="1" style="88" min="6915" max="7169"/>
    <col width="11.67" customWidth="1" style="88" min="7170" max="7170"/>
    <col width="9.16" customWidth="1" style="88" min="7171" max="7425"/>
    <col width="11.67" customWidth="1" style="88" min="7426" max="7426"/>
    <col width="9.16" customWidth="1" style="88" min="7427" max="7681"/>
    <col width="11.67" customWidth="1" style="88" min="7682" max="7682"/>
    <col width="9.16" customWidth="1" style="88" min="7683" max="7937"/>
    <col width="11.67" customWidth="1" style="88" min="7938" max="7938"/>
    <col width="9.16" customWidth="1" style="88" min="7939" max="8193"/>
    <col width="11.67" customWidth="1" style="88" min="8194" max="8194"/>
    <col width="9.16" customWidth="1" style="88" min="8195" max="8449"/>
    <col width="11.67" customWidth="1" style="88" min="8450" max="8450"/>
    <col width="9.16" customWidth="1" style="88" min="8451" max="8705"/>
    <col width="11.67" customWidth="1" style="88" min="8706" max="8706"/>
    <col width="9.16" customWidth="1" style="88" min="8707" max="8961"/>
    <col width="11.67" customWidth="1" style="88" min="8962" max="8962"/>
    <col width="9.16" customWidth="1" style="88" min="8963" max="9217"/>
    <col width="11.67" customWidth="1" style="88" min="9218" max="9218"/>
    <col width="9.16" customWidth="1" style="88" min="9219" max="9473"/>
    <col width="11.67" customWidth="1" style="88" min="9474" max="9474"/>
    <col width="9.16" customWidth="1" style="88" min="9475" max="9729"/>
    <col width="11.67" customWidth="1" style="88" min="9730" max="9730"/>
    <col width="9.16" customWidth="1" style="88" min="9731" max="9985"/>
    <col width="11.67" customWidth="1" style="88" min="9986" max="9986"/>
    <col width="9.16" customWidth="1" style="88" min="9987" max="10241"/>
    <col width="11.67" customWidth="1" style="88" min="10242" max="10242"/>
    <col width="9.16" customWidth="1" style="88" min="10243" max="10497"/>
    <col width="11.67" customWidth="1" style="88" min="10498" max="10498"/>
    <col width="9.16" customWidth="1" style="88" min="10499" max="10753"/>
    <col width="11.67" customWidth="1" style="88" min="10754" max="10754"/>
    <col width="9.16" customWidth="1" style="88" min="10755" max="11009"/>
    <col width="11.67" customWidth="1" style="88" min="11010" max="11010"/>
    <col width="9.16" customWidth="1" style="88" min="11011" max="11265"/>
    <col width="11.67" customWidth="1" style="88" min="11266" max="11266"/>
    <col width="9.16" customWidth="1" style="88" min="11267" max="11521"/>
    <col width="11.67" customWidth="1" style="88" min="11522" max="11522"/>
    <col width="9.16" customWidth="1" style="88" min="11523" max="11777"/>
    <col width="11.67" customWidth="1" style="88" min="11778" max="11778"/>
    <col width="9.16" customWidth="1" style="88" min="11779" max="12033"/>
    <col width="11.67" customWidth="1" style="88" min="12034" max="12034"/>
    <col width="9.16" customWidth="1" style="88" min="12035" max="12289"/>
    <col width="11.67" customWidth="1" style="88" min="12290" max="12290"/>
    <col width="9.16" customWidth="1" style="88" min="12291" max="12545"/>
    <col width="11.67" customWidth="1" style="88" min="12546" max="12546"/>
    <col width="9.16" customWidth="1" style="88" min="12547" max="12801"/>
    <col width="11.67" customWidth="1" style="88" min="12802" max="12802"/>
    <col width="9.16" customWidth="1" style="88" min="12803" max="13057"/>
    <col width="11.67" customWidth="1" style="88" min="13058" max="13058"/>
    <col width="9.16" customWidth="1" style="88" min="13059" max="13313"/>
    <col width="11.67" customWidth="1" style="88" min="13314" max="13314"/>
    <col width="9.16" customWidth="1" style="88" min="13315" max="13569"/>
    <col width="11.67" customWidth="1" style="88" min="13570" max="13570"/>
    <col width="9.16" customWidth="1" style="88" min="13571" max="13825"/>
    <col width="11.67" customWidth="1" style="88" min="13826" max="13826"/>
    <col width="9.16" customWidth="1" style="88" min="13827" max="14081"/>
    <col width="11.67" customWidth="1" style="88" min="14082" max="14082"/>
    <col width="9.16" customWidth="1" style="88" min="14083" max="14337"/>
    <col width="11.67" customWidth="1" style="88" min="14338" max="14338"/>
    <col width="9.16" customWidth="1" style="88" min="14339" max="14593"/>
    <col width="11.67" customWidth="1" style="88" min="14594" max="14594"/>
    <col width="9.16" customWidth="1" style="88" min="14595" max="14849"/>
    <col width="11.67" customWidth="1" style="88" min="14850" max="14850"/>
    <col width="9.16" customWidth="1" style="88" min="14851" max="15105"/>
    <col width="11.67" customWidth="1" style="88" min="15106" max="15106"/>
    <col width="9.16" customWidth="1" style="88" min="15107" max="15361"/>
    <col width="11.67" customWidth="1" style="88" min="15362" max="15362"/>
    <col width="9.16" customWidth="1" style="88" min="15363" max="15617"/>
    <col width="11.67" customWidth="1" style="88" min="15618" max="15618"/>
    <col width="9.16" customWidth="1" style="88" min="15619" max="15873"/>
    <col width="11.67" customWidth="1" style="88" min="15874" max="15874"/>
    <col width="9.16" customWidth="1" style="88" min="15875" max="16129"/>
    <col width="11.67" customWidth="1" style="88" min="16130" max="16130"/>
    <col width="9.16" customWidth="1" style="88" min="16131" max="16384"/>
  </cols>
  <sheetData>
    <row r="1" ht="30" customHeight="1" s="89">
      <c r="A1" s="90" t="inlineStr">
        <is>
          <t>Bridge Plan Maker — Instructions</t>
        </is>
      </c>
      <c r="I1" s="91" t="n"/>
      <c r="J1" s="91" t="n"/>
      <c r="K1" s="91" t="n"/>
      <c r="L1" s="91" t="n"/>
    </row>
    <row r="2" ht="19.5" customHeight="1" s="89">
      <c r="A2" s="92" t="inlineStr">
        <is>
          <t>Perioperative Anticoagulation Bridge Planning &amp; CrCl Calculator</t>
        </is>
      </c>
      <c r="I2" s="91" t="n"/>
      <c r="J2" s="91" t="n"/>
      <c r="K2" s="91" t="n"/>
      <c r="L2" s="91" t="n"/>
    </row>
    <row r="3" ht="7.5" customHeight="1" s="89">
      <c r="A3" s="91" t="n"/>
      <c r="B3" s="91" t="n"/>
      <c r="C3" s="91" t="n"/>
      <c r="D3" s="91" t="n"/>
      <c r="E3" s="91" t="n"/>
      <c r="F3" s="91" t="n"/>
      <c r="G3" s="91" t="n"/>
      <c r="H3" s="91" t="n"/>
      <c r="I3" s="91" t="n"/>
      <c r="J3" s="91" t="n"/>
      <c r="K3" s="91" t="n"/>
      <c r="L3" s="91" t="n"/>
    </row>
    <row r="4" ht="21.75" customHeight="1" s="89">
      <c r="A4" s="93" t="inlineStr">
        <is>
          <t>How to Use the Bridge Plan Maker</t>
        </is>
      </c>
      <c r="I4" s="91" t="n"/>
      <c r="J4" s="91" t="n"/>
      <c r="K4" s="91" t="n"/>
      <c r="L4" s="91" t="n"/>
    </row>
    <row r="5" ht="30" customHeight="1" s="89">
      <c r="A5" s="94" t="n">
        <v>1</v>
      </c>
      <c r="B5" s="95" t="inlineStr">
        <is>
          <t>Enter all the patient information necessary in the Patient Information Worksheet.</t>
        </is>
      </c>
      <c r="I5" s="91" t="n"/>
      <c r="J5" s="91" t="n"/>
      <c r="K5" s="91" t="n"/>
      <c r="L5" s="91" t="n"/>
    </row>
    <row r="6" ht="30" customHeight="1" s="89">
      <c r="A6" s="94" t="n">
        <v>2</v>
      </c>
      <c r="B6" s="95" t="inlineStr">
        <is>
          <t>Select "Bridge Plan Printout" and change any information in the fields to match your instructions.</t>
        </is>
      </c>
      <c r="I6" s="91" t="n"/>
      <c r="J6" s="91" t="n"/>
      <c r="K6" s="91" t="n"/>
      <c r="L6" s="91" t="n"/>
    </row>
    <row r="7" ht="33.75" customHeight="1" s="89">
      <c r="A7" s="94" t="n">
        <v>3</v>
      </c>
      <c r="B7" s="95" t="inlineStr">
        <is>
          <t>If you entered data into a field and it doesn't match what you wanted, close the spreadsheet and open a new bridge plan maker. Do not Save!</t>
        </is>
      </c>
      <c r="I7" s="91" t="n"/>
      <c r="J7" s="91" t="n"/>
      <c r="K7" s="91" t="n"/>
      <c r="L7" s="91" t="n"/>
    </row>
    <row r="8" ht="30" customHeight="1" s="89">
      <c r="A8" s="94" t="n">
        <v>4</v>
      </c>
      <c r="B8" s="95" t="inlineStr">
        <is>
          <t>Verify the information is correct and print the active worksheet.</t>
        </is>
      </c>
      <c r="I8" s="91" t="n"/>
      <c r="J8" s="91" t="n"/>
      <c r="K8" s="91" t="n"/>
      <c r="L8" s="91" t="n"/>
    </row>
    <row r="9" ht="42" customHeight="1" s="89">
      <c r="A9" s="96" t="inlineStr">
        <is>
          <t>The bridge plan spreadsheet only allows for a maximum of 14 days of planning around the surgery date. If a longer plan is needed, please refer to the Microsoft Word template.</t>
        </is>
      </c>
      <c r="I9" s="91" t="n"/>
      <c r="J9" s="91" t="n"/>
      <c r="K9" s="91" t="n"/>
      <c r="L9" s="91" t="n"/>
    </row>
    <row r="10" ht="7.5" customHeight="1" s="89">
      <c r="A10" s="91" t="n"/>
      <c r="B10" s="91" t="n"/>
      <c r="C10" s="91" t="n"/>
      <c r="D10" s="91" t="n"/>
      <c r="E10" s="91" t="n"/>
      <c r="F10" s="91" t="n"/>
      <c r="G10" s="91" t="n"/>
      <c r="H10" s="91" t="n"/>
      <c r="I10" s="91" t="n"/>
      <c r="J10" s="91" t="n"/>
      <c r="K10" s="91" t="n"/>
      <c r="L10" s="91" t="n"/>
    </row>
    <row r="11" ht="21.75" customHeight="1" s="89">
      <c r="A11" s="93" t="inlineStr">
        <is>
          <t>CrCl Calculator Instructions</t>
        </is>
      </c>
      <c r="I11" s="91" t="n"/>
      <c r="J11" s="91" t="n"/>
      <c r="K11" s="91" t="n"/>
      <c r="L11" s="91" t="n"/>
    </row>
    <row r="12" ht="30" customHeight="1" s="89">
      <c r="A12" s="94" t="n">
        <v>1</v>
      </c>
      <c r="B12" s="95" t="inlineStr">
        <is>
          <t>Enter Height, Weight, Age, SCr, and Gender in each space. Must be in appropriate units.</t>
        </is>
      </c>
      <c r="I12" s="91" t="n"/>
      <c r="J12" s="91" t="n"/>
      <c r="K12" s="91" t="n"/>
      <c r="L12" s="91" t="n"/>
    </row>
    <row r="13" ht="30" customHeight="1" s="89">
      <c r="A13" s="94" t="n">
        <v>2</v>
      </c>
      <c r="B13" s="95" t="inlineStr">
        <is>
          <t>All 5 fields must be filled for the CrCl Calculator to work.</t>
        </is>
      </c>
      <c r="I13" s="91" t="n"/>
      <c r="J13" s="91" t="n"/>
      <c r="K13" s="91" t="n"/>
      <c r="L13" s="91" t="n"/>
    </row>
    <row r="14" ht="27.75" customHeight="1" s="89">
      <c r="A14" s="96" t="inlineStr">
        <is>
          <t>If SCr is less than 1.0, a value of 1.0 will be used in the CrCl formula.</t>
        </is>
      </c>
      <c r="I14" s="91" t="n"/>
      <c r="J14" s="91" t="n"/>
      <c r="K14" s="91" t="n"/>
      <c r="L14" s="91" t="n"/>
    </row>
    <row r="15" ht="7.5" customHeight="1" s="89">
      <c r="A15" s="91" t="n"/>
      <c r="B15" s="91" t="n"/>
      <c r="C15" s="91" t="n"/>
      <c r="D15" s="91" t="n"/>
      <c r="E15" s="91" t="n"/>
      <c r="F15" s="91" t="n"/>
      <c r="G15" s="91" t="n"/>
      <c r="H15" s="91" t="n"/>
      <c r="I15" s="91" t="n"/>
      <c r="J15" s="91" t="n"/>
      <c r="K15" s="91" t="n"/>
      <c r="L15" s="91" t="n"/>
    </row>
    <row r="16" ht="21.75" customHeight="1" s="89">
      <c r="A16" s="93" t="inlineStr">
        <is>
          <t>Color Key</t>
        </is>
      </c>
      <c r="I16" s="91" t="n"/>
      <c r="J16" s="91" t="n"/>
      <c r="K16" s="91" t="n"/>
      <c r="L16" s="91" t="n"/>
    </row>
    <row r="17" ht="19.5" customHeight="1" s="89">
      <c r="A17" s="97" t="n"/>
      <c r="B17" s="98" t="inlineStr">
        <is>
          <t>Manual entry — fields you fill in</t>
        </is>
      </c>
      <c r="E17" s="99" t="n"/>
      <c r="F17" s="98" t="inlineStr">
        <is>
          <t>Automatically calculated — do not edit</t>
        </is>
      </c>
      <c r="I17" s="91" t="n"/>
      <c r="J17" s="91" t="n"/>
      <c r="K17" s="91" t="n"/>
      <c r="L17" s="91" t="n"/>
    </row>
    <row r="18" ht="7.5" customHeight="1" s="89">
      <c r="A18" s="91" t="n"/>
      <c r="B18" s="100" t="n"/>
      <c r="C18" s="91" t="n"/>
      <c r="D18" s="91" t="n"/>
      <c r="E18" s="91" t="n"/>
      <c r="F18" s="91" t="n"/>
      <c r="G18" s="91" t="n"/>
      <c r="H18" s="91" t="n"/>
      <c r="I18" s="91" t="n"/>
      <c r="J18" s="91" t="n"/>
      <c r="K18" s="91" t="n"/>
      <c r="L18" s="91" t="n"/>
    </row>
    <row r="19" ht="21.75" customHeight="1" s="89">
      <c r="A19" s="93" t="inlineStr">
        <is>
          <t>Tab Guide</t>
        </is>
      </c>
      <c r="I19" s="91" t="n"/>
      <c r="J19" s="91" t="n"/>
      <c r="K19" s="91" t="n"/>
      <c r="L19" s="91" t="n"/>
    </row>
    <row r="20" ht="25.5" customHeight="1" s="89">
      <c r="A20" s="101" t="n"/>
      <c r="B20" s="102" t="inlineStr">
        <is>
          <t>Instructions</t>
        </is>
      </c>
      <c r="D20" s="103" t="inlineStr">
        <is>
          <t>You're here! How-to guide, CrCl calculator notes, and version history.</t>
        </is>
      </c>
      <c r="I20" s="91" t="n"/>
      <c r="J20" s="91" t="n"/>
      <c r="K20" s="91" t="n"/>
      <c r="L20" s="91" t="n"/>
    </row>
    <row r="21" ht="25.5" customHeight="1" s="89">
      <c r="A21" s="104" t="n"/>
      <c r="B21" s="102" t="inlineStr">
        <is>
          <t>Patient Information</t>
        </is>
      </c>
      <c r="D21" s="103" t="inlineStr">
        <is>
          <t>Enter patient demographics, CrCl inputs, and case details here first.</t>
        </is>
      </c>
      <c r="I21" s="91" t="n"/>
      <c r="J21" s="91" t="n"/>
      <c r="K21" s="91" t="n"/>
      <c r="L21" s="91" t="n"/>
    </row>
    <row r="22" ht="25.5" customHeight="1" s="89">
      <c r="A22" s="105" t="n"/>
      <c r="B22" s="102" t="inlineStr">
        <is>
          <t>Bridge Plan Printout</t>
        </is>
      </c>
      <c r="D22" s="103" t="inlineStr">
        <is>
          <t>Auto-generated, ready-to-print anticoagulation bridge schedule.</t>
        </is>
      </c>
      <c r="I22" s="91" t="n"/>
      <c r="J22" s="91" t="n"/>
      <c r="K22" s="91" t="n"/>
      <c r="L22" s="91" t="n"/>
    </row>
    <row r="23" ht="25.5" customHeight="1" s="89">
      <c r="A23" s="106" t="n"/>
      <c r="B23" s="107" t="inlineStr">
        <is>
          <t>References</t>
        </is>
      </c>
      <c r="D23" s="103" t="inlineStr">
        <is>
          <t>Behind-the-scenes lookup tables that power the calculations — no need to edit.</t>
        </is>
      </c>
      <c r="I23" s="91" t="n"/>
      <c r="J23" s="91" t="n"/>
      <c r="K23" s="91" t="n"/>
      <c r="L23" s="91" t="n"/>
    </row>
    <row r="24" ht="7.5" customHeight="1" s="89">
      <c r="A24" s="91" t="n"/>
      <c r="B24" s="100" t="n"/>
      <c r="C24" s="100" t="n"/>
      <c r="D24" s="91" t="n"/>
      <c r="E24" s="91" t="n"/>
      <c r="F24" s="91" t="n"/>
      <c r="G24" s="91" t="n"/>
      <c r="H24" s="91" t="n"/>
      <c r="I24" s="91" t="n"/>
      <c r="J24" s="91" t="n"/>
      <c r="K24" s="91" t="n"/>
      <c r="L24" s="91" t="n"/>
    </row>
    <row r="25" ht="21.75" customHeight="1" s="89">
      <c r="A25" s="93" t="inlineStr">
        <is>
          <t>Version History</t>
        </is>
      </c>
      <c r="I25" s="91" t="n"/>
      <c r="J25" s="91" t="n"/>
      <c r="K25" s="91" t="n"/>
      <c r="L25" s="91" t="n"/>
    </row>
    <row r="26" ht="27.75" customHeight="1" s="89">
      <c r="A26" s="108" t="inlineStr">
        <is>
          <t>Created by Mike De Luna</t>
        </is>
      </c>
      <c r="F26" s="109" t="inlineStr">
        <is>
          <t>Version 1.0</t>
        </is>
      </c>
      <c r="I26" s="91" t="n"/>
      <c r="J26" s="91" t="n"/>
      <c r="K26" s="91" t="n"/>
      <c r="L26" s="91" t="n"/>
    </row>
    <row r="27" ht="15.75" customHeight="1" s="89">
      <c r="A27" s="110" t="inlineStr">
        <is>
          <t>Created on: 02/01/2011</t>
        </is>
      </c>
      <c r="B27" s="111" t="n"/>
      <c r="C27" s="111" t="n"/>
      <c r="D27" s="111" t="n"/>
      <c r="E27" s="112" t="inlineStr">
        <is>
          <t>Last edit: 06/28/2012</t>
        </is>
      </c>
      <c r="F27" s="111" t="n"/>
      <c r="G27" s="111" t="n"/>
      <c r="H27" s="111" t="n"/>
      <c r="I27" s="91" t="n"/>
      <c r="J27" s="91" t="n"/>
      <c r="K27" s="91" t="n"/>
      <c r="L27" s="91" t="n"/>
    </row>
    <row r="28" ht="6" customHeight="1" s="89">
      <c r="A28" s="91" t="n"/>
      <c r="B28" s="91" t="n"/>
      <c r="C28" s="91" t="n"/>
      <c r="D28" s="91" t="n"/>
      <c r="E28" s="91" t="n"/>
      <c r="F28" s="91" t="n"/>
      <c r="G28" s="91" t="n"/>
      <c r="H28" s="91" t="n"/>
      <c r="I28" s="91" t="n"/>
      <c r="J28" s="91" t="n"/>
      <c r="K28" s="91" t="n"/>
      <c r="L28" s="91" t="n"/>
    </row>
    <row r="29" ht="27.75" customHeight="1" s="89">
      <c r="A29" s="113" t="inlineStr">
        <is>
          <t>Updated by Jonathan Lewis, Program Manager 2 (not a pharmacist)</t>
        </is>
      </c>
      <c r="F29" s="109" t="inlineStr">
        <is>
          <t>Version 1.1</t>
        </is>
      </c>
      <c r="I29" s="91" t="n"/>
      <c r="J29" s="91" t="n"/>
      <c r="K29" s="91" t="n"/>
      <c r="L29" s="91" t="n"/>
    </row>
    <row r="30" ht="15.75" customHeight="1" s="89">
      <c r="A30" s="112" t="inlineStr">
        <is>
          <t>Created on: 07/23/2024</t>
        </is>
      </c>
      <c r="B30" s="111" t="n"/>
      <c r="C30" s="111" t="n"/>
      <c r="D30" s="111" t="n"/>
      <c r="E30" s="112" t="inlineStr">
        <is>
          <t>Last edit: 07/24/2024</t>
        </is>
      </c>
      <c r="F30" s="111" t="n"/>
      <c r="G30" s="111" t="n"/>
      <c r="H30" s="111" t="n"/>
      <c r="I30" s="91" t="n"/>
      <c r="J30" s="91" t="n"/>
      <c r="K30" s="91" t="n"/>
      <c r="L30" s="91" t="n"/>
    </row>
    <row r="31" ht="6" customHeight="1" s="89">
      <c r="A31" s="91" t="n"/>
      <c r="B31" s="91" t="n"/>
      <c r="C31" s="91" t="n"/>
      <c r="D31" s="91" t="n"/>
      <c r="E31" s="91" t="n"/>
      <c r="F31" s="91" t="n"/>
      <c r="G31" s="91" t="n"/>
      <c r="H31" s="91" t="n"/>
      <c r="I31" s="91" t="n"/>
      <c r="J31" s="91" t="n"/>
      <c r="K31" s="91" t="n"/>
      <c r="L31" s="91" t="n"/>
    </row>
    <row r="32" ht="27.75" customHeight="1" s="89">
      <c r="A32" s="113" t="inlineStr">
        <is>
          <t>Updated by Andrew Tran, PharmD, BCACP, BCPS</t>
        </is>
      </c>
      <c r="F32" s="109" t="inlineStr">
        <is>
          <t>Version 1.2</t>
        </is>
      </c>
      <c r="I32" s="91" t="n"/>
      <c r="J32" s="91" t="n"/>
      <c r="K32" s="91" t="n"/>
      <c r="L32" s="91" t="n"/>
    </row>
    <row r="33" ht="15.75" customHeight="1" s="89">
      <c r="A33" s="112" t="inlineStr">
        <is>
          <t>Created on: 08/03/2026</t>
        </is>
      </c>
      <c r="B33" s="111" t="n"/>
      <c r="C33" s="111" t="n"/>
      <c r="D33" s="111" t="n"/>
      <c r="E33" s="112" t="inlineStr">
        <is>
          <t>Last edit: 08/03/2026</t>
        </is>
      </c>
      <c r="F33" s="111" t="n"/>
      <c r="G33" s="111" t="n"/>
      <c r="H33" s="111" t="n"/>
      <c r="I33" s="91" t="n"/>
      <c r="J33" s="91" t="n"/>
      <c r="K33" s="91" t="n"/>
      <c r="L33" s="91" t="n"/>
    </row>
    <row r="34" ht="6" customHeight="1" s="89">
      <c r="A34" s="91" t="n"/>
      <c r="B34" s="91" t="n"/>
      <c r="C34" s="91" t="n"/>
      <c r="D34" s="91" t="n"/>
      <c r="E34" s="91" t="n"/>
      <c r="F34" s="91" t="n"/>
      <c r="G34" s="91" t="n"/>
      <c r="H34" s="91" t="n"/>
      <c r="I34" s="91" t="n"/>
      <c r="J34" s="91" t="n"/>
      <c r="K34" s="91" t="n"/>
      <c r="L34" s="91" t="n"/>
    </row>
    <row r="35" ht="21.75" customHeight="1" s="89">
      <c r="A35" s="93" t="inlineStr">
        <is>
          <t>Update Log</t>
        </is>
      </c>
      <c r="I35" s="91" t="n"/>
      <c r="J35" s="91" t="n"/>
      <c r="K35" s="91" t="n"/>
      <c r="L35" s="91" t="n"/>
    </row>
    <row r="36" ht="18" customHeight="1" s="89">
      <c r="A36" s="114" t="inlineStr">
        <is>
          <t>Date</t>
        </is>
      </c>
      <c r="B36" s="115" t="inlineStr">
        <is>
          <t>Update Notes</t>
        </is>
      </c>
      <c r="C36" s="116" t="n"/>
      <c r="D36" s="116" t="n"/>
      <c r="E36" s="116" t="n"/>
      <c r="F36" s="116" t="n"/>
      <c r="G36" s="116" t="n"/>
      <c r="H36" s="117" t="n"/>
      <c r="I36" s="91" t="n"/>
      <c r="J36" s="91" t="n"/>
      <c r="K36" s="91" t="n"/>
      <c r="L36" s="91" t="n"/>
    </row>
    <row r="37" ht="25.5" customHeight="1" s="89">
      <c r="A37" s="118" t="n">
        <v>45497</v>
      </c>
      <c r="B37" s="119" t="inlineStr">
        <is>
          <t>Updated file to have "Next syringe size" automatically calculate from Lovenox dose, and correlating table on reference tab.</t>
        </is>
      </c>
      <c r="C37" s="120" t="n"/>
      <c r="D37" s="120" t="n"/>
      <c r="E37" s="120" t="n"/>
      <c r="F37" s="120" t="n"/>
      <c r="G37" s="120" t="n"/>
      <c r="H37" s="121" t="n"/>
      <c r="I37" s="91" t="n"/>
      <c r="J37" s="91" t="n"/>
      <c r="K37" s="91" t="n"/>
      <c r="L37" s="91" t="n"/>
    </row>
    <row r="38" ht="25.5" customHeight="1" s="89">
      <c r="A38" s="122" t="n"/>
      <c r="B38" s="119" t="inlineStr">
        <is>
          <t>Added column B to Bridge Plan Printout to calculate day of the week of column A.</t>
        </is>
      </c>
      <c r="C38" s="120" t="n"/>
      <c r="D38" s="120" t="n"/>
      <c r="E38" s="120" t="n"/>
      <c r="F38" s="120" t="n"/>
      <c r="G38" s="120" t="n"/>
      <c r="H38" s="121" t="n"/>
      <c r="I38" s="91" t="n"/>
      <c r="J38" s="91" t="n"/>
      <c r="K38" s="91" t="n"/>
      <c r="L38" s="91" t="n"/>
    </row>
    <row r="39" ht="25.5" customHeight="1" s="89">
      <c r="A39" s="122" t="n"/>
      <c r="B39" s="119" t="inlineStr">
        <is>
          <t>Moved all calculation/reference cells to References tab.</t>
        </is>
      </c>
      <c r="C39" s="120" t="n"/>
      <c r="D39" s="120" t="n"/>
      <c r="E39" s="120" t="n"/>
      <c r="F39" s="120" t="n"/>
      <c r="G39" s="120" t="n"/>
      <c r="H39" s="121" t="n"/>
      <c r="I39" s="91" t="n"/>
      <c r="J39" s="91" t="n"/>
      <c r="K39" s="91" t="n"/>
      <c r="L39" s="91" t="n"/>
    </row>
    <row r="40" ht="25.5" customHeight="1" s="89">
      <c r="A40" s="122" t="n"/>
      <c r="B40" s="119" t="inlineStr">
        <is>
          <t>Added color coding to Patient Information tab — all yellow fields are manually filled in, all teal fields are automatically calculated.</t>
        </is>
      </c>
      <c r="C40" s="120" t="n"/>
      <c r="D40" s="120" t="n"/>
      <c r="E40" s="120" t="n"/>
      <c r="F40" s="120" t="n"/>
      <c r="G40" s="120" t="n"/>
      <c r="H40" s="121" t="n"/>
      <c r="I40" s="91" t="n"/>
      <c r="J40" s="91" t="n"/>
      <c r="K40" s="91" t="n"/>
      <c r="L40" s="91" t="n"/>
    </row>
    <row r="41" ht="25.5" customHeight="1" s="89">
      <c r="A41" s="123" t="n"/>
      <c r="B41" s="119" t="inlineStr">
        <is>
          <t>All other calculations related to calculating pharmaceutical therapies and dosages remain unchanged.</t>
        </is>
      </c>
      <c r="C41" s="120" t="n"/>
      <c r="D41" s="120" t="n"/>
      <c r="E41" s="120" t="n"/>
      <c r="F41" s="120" t="n"/>
      <c r="G41" s="120" t="n"/>
      <c r="H41" s="121" t="n"/>
    </row>
    <row r="42" ht="39.75" customHeight="1" s="89">
      <c r="A42" s="118" t="n">
        <v>46237</v>
      </c>
      <c r="B42" s="124" t="inlineStr">
        <is>
          <t>Visual redesign: refreshed color scheme, typography, borders, and print/page layout across all tabs for readability and a more professional, printable appearance. Fixed print/page setup so no content is cut off when printed. No formulas, values, or calculations were changed.</t>
        </is>
      </c>
      <c r="H42" s="125" t="n"/>
    </row>
    <row r="44" ht="18" customHeight="1" s="89">
      <c r="A44" s="126" t="n"/>
    </row>
    <row r="45" ht="45" customHeight="1" s="89">
      <c r="A45" s="127" t="n"/>
      <c r="B45" s="128" t="n"/>
    </row>
  </sheetData>
  <mergeCells count="46">
    <mergeCell ref="A9:H9"/>
    <mergeCell ref="D20:H20"/>
    <mergeCell ref="B40:H40"/>
    <mergeCell ref="F32:H32"/>
    <mergeCell ref="B17:D17"/>
    <mergeCell ref="B6:H6"/>
    <mergeCell ref="B22:C22"/>
    <mergeCell ref="F26:H26"/>
    <mergeCell ref="A11:H11"/>
    <mergeCell ref="F17:H17"/>
    <mergeCell ref="A1:H1"/>
    <mergeCell ref="D22:H22"/>
    <mergeCell ref="B5:H5"/>
    <mergeCell ref="E27:H27"/>
    <mergeCell ref="B36:H36"/>
    <mergeCell ref="B21:C21"/>
    <mergeCell ref="D21:H21"/>
    <mergeCell ref="B41:H41"/>
    <mergeCell ref="A25:H25"/>
    <mergeCell ref="A16:H16"/>
    <mergeCell ref="A30:D30"/>
    <mergeCell ref="B23:C23"/>
    <mergeCell ref="B7:H7"/>
    <mergeCell ref="E33:H33"/>
    <mergeCell ref="A26:E26"/>
    <mergeCell ref="A2:H2"/>
    <mergeCell ref="B12:H12"/>
    <mergeCell ref="B39:H39"/>
    <mergeCell ref="A14:H14"/>
    <mergeCell ref="A32:E32"/>
    <mergeCell ref="B42:H42"/>
    <mergeCell ref="F29:H29"/>
    <mergeCell ref="A4:H4"/>
    <mergeCell ref="B8:H8"/>
    <mergeCell ref="A29:E29"/>
    <mergeCell ref="A27:D27"/>
    <mergeCell ref="A35:H35"/>
    <mergeCell ref="B13:H13"/>
    <mergeCell ref="B20:C20"/>
    <mergeCell ref="E30:H30"/>
    <mergeCell ref="B38:H38"/>
    <mergeCell ref="A19:H19"/>
    <mergeCell ref="D23:H23"/>
    <mergeCell ref="A33:D33"/>
    <mergeCell ref="A37:A41"/>
    <mergeCell ref="B37:H37"/>
  </mergeCells>
  <printOptions horizontalCentered="0" verticalCentered="0" headings="0" gridLines="0" gridLinesSet="1"/>
  <pageMargins left="0.4" right="0.4" top="0.4" bottom="0.4" header="0.511811023622047" footer="0.511811023622047"/>
  <pageSetup orientation="portrait"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18"/>
  <sheetViews>
    <sheetView showFormulas="0" showGridLines="0" showRowColHeaders="1" showZeros="1" rightToLeft="0" tabSelected="0" showOutlineSymbols="1" defaultGridColor="1" view="normal" topLeftCell="AA1" colorId="64" zoomScale="100" zoomScaleNormal="100" zoomScalePageLayoutView="100" workbookViewId="0">
      <pane xSplit="0" ySplit="9" topLeftCell="A10" activePane="bottomLeft" state="frozen"/>
      <selection pane="topLeft" activeCell="AA1" activeCellId="0" sqref="AA1"/>
      <selection pane="bottomLeft" activeCell="D28" activeCellId="0" sqref="D28"/>
    </sheetView>
  </sheetViews>
  <sheetFormatPr baseColWidth="8" defaultColWidth="9.1640625" defaultRowHeight="13.5" customHeight="0" zeroHeight="0" outlineLevelRow="0"/>
  <cols>
    <col width="14.52" customWidth="1" style="129" min="1" max="1"/>
    <col width="10.83" customWidth="1" style="129" min="2" max="2"/>
    <col width="11.67" customWidth="1" style="129" min="3" max="3"/>
    <col width="23.5" customWidth="1" style="130" min="4" max="4"/>
    <col width="12.5" customWidth="1" style="129" min="5" max="5"/>
    <col width="13.83" customWidth="1" style="129" min="6" max="6"/>
    <col width="13.5" customWidth="1" style="129" min="7" max="7"/>
    <col width="17.5" customWidth="1" style="129" min="8" max="8"/>
    <col width="13.34" customWidth="1" style="131" min="9" max="9"/>
    <col width="17.5" customWidth="1" style="129" min="10" max="10"/>
    <col width="12.16" customWidth="1" style="129" min="11" max="11"/>
    <col width="20" customWidth="1" style="129" min="12" max="12"/>
    <col width="9.16" customWidth="1" style="129" min="13" max="13"/>
    <col width="6.16" customWidth="1" style="129" min="14" max="14"/>
    <col width="9.16" customWidth="1" style="129" min="15" max="15"/>
    <col width="11.33" customWidth="1" style="129" min="16" max="16"/>
    <col width="14.83" customWidth="1" style="129" min="17" max="17"/>
    <col width="9.16" customWidth="1" style="129" min="18" max="256"/>
    <col width="14.52" customWidth="1" style="129" min="257" max="257"/>
    <col width="10.83" customWidth="1" style="129" min="258" max="258"/>
    <col width="11.67" customWidth="1" style="129" min="259" max="259"/>
    <col width="13.67" customWidth="1" style="129" min="260" max="260"/>
    <col width="12.5" customWidth="1" style="129" min="261" max="261"/>
    <col width="13.83" customWidth="1" style="129" min="262" max="262"/>
    <col width="13.5" customWidth="1" style="129" min="263" max="263"/>
    <col width="17.5" customWidth="1" style="129" min="264" max="264"/>
    <col width="13.34" customWidth="1" style="129" min="265" max="265"/>
    <col width="17.5" customWidth="1" style="129" min="266" max="266"/>
    <col width="12.16" customWidth="1" style="129" min="267" max="267"/>
    <col width="22.5" customWidth="1" style="129" min="268" max="268"/>
    <col width="9.16" customWidth="1" style="129" min="269" max="269"/>
    <col hidden="1" width="13" customWidth="1" style="129" min="270" max="270"/>
    <col width="9.16" customWidth="1" style="129" min="271" max="512"/>
    <col width="14.52" customWidth="1" style="129" min="513" max="513"/>
    <col width="10.83" customWidth="1" style="129" min="514" max="514"/>
    <col width="11.67" customWidth="1" style="129" min="515" max="515"/>
    <col width="13.67" customWidth="1" style="129" min="516" max="516"/>
    <col width="12.5" customWidth="1" style="129" min="517" max="517"/>
    <col width="13.83" customWidth="1" style="129" min="518" max="518"/>
    <col width="13.5" customWidth="1" style="129" min="519" max="519"/>
    <col width="17.5" customWidth="1" style="129" min="520" max="520"/>
    <col width="13.34" customWidth="1" style="129" min="521" max="521"/>
    <col width="17.5" customWidth="1" style="129" min="522" max="522"/>
    <col width="12.16" customWidth="1" style="129" min="523" max="523"/>
    <col width="22.5" customWidth="1" style="129" min="524" max="524"/>
    <col width="9.16" customWidth="1" style="129" min="525" max="525"/>
    <col hidden="1" width="13" customWidth="1" style="129" min="526" max="526"/>
    <col width="9.16" customWidth="1" style="129" min="527" max="768"/>
    <col width="14.52" customWidth="1" style="129" min="769" max="769"/>
    <col width="10.83" customWidth="1" style="129" min="770" max="770"/>
    <col width="11.67" customWidth="1" style="129" min="771" max="771"/>
    <col width="13.67" customWidth="1" style="129" min="772" max="772"/>
    <col width="12.5" customWidth="1" style="129" min="773" max="773"/>
    <col width="13.83" customWidth="1" style="129" min="774" max="774"/>
    <col width="13.5" customWidth="1" style="129" min="775" max="775"/>
    <col width="17.5" customWidth="1" style="129" min="776" max="776"/>
    <col width="13.34" customWidth="1" style="129" min="777" max="777"/>
    <col width="17.5" customWidth="1" style="129" min="778" max="778"/>
    <col width="12.16" customWidth="1" style="129" min="779" max="779"/>
    <col width="22.5" customWidth="1" style="129" min="780" max="780"/>
    <col width="9.16" customWidth="1" style="129" min="781" max="781"/>
    <col hidden="1" width="13" customWidth="1" style="129" min="782" max="782"/>
    <col width="9.16" customWidth="1" style="129" min="783" max="1024"/>
    <col width="14.52" customWidth="1" style="129" min="1025" max="1025"/>
    <col width="10.83" customWidth="1" style="129" min="1026" max="1026"/>
    <col width="11.67" customWidth="1" style="129" min="1027" max="1027"/>
    <col width="13.67" customWidth="1" style="129" min="1028" max="1028"/>
    <col width="12.5" customWidth="1" style="129" min="1029" max="1029"/>
    <col width="13.83" customWidth="1" style="129" min="1030" max="1030"/>
    <col width="13.5" customWidth="1" style="129" min="1031" max="1031"/>
    <col width="17.5" customWidth="1" style="129" min="1032" max="1032"/>
    <col width="13.34" customWidth="1" style="129" min="1033" max="1033"/>
    <col width="17.5" customWidth="1" style="129" min="1034" max="1034"/>
    <col width="12.16" customWidth="1" style="129" min="1035" max="1035"/>
    <col width="22.5" customWidth="1" style="129" min="1036" max="1036"/>
    <col width="9.16" customWidth="1" style="129" min="1037" max="1037"/>
    <col hidden="1" width="13" customWidth="1" style="129" min="1038" max="1038"/>
    <col width="9.16" customWidth="1" style="129" min="1039" max="1280"/>
    <col width="14.52" customWidth="1" style="129" min="1281" max="1281"/>
    <col width="10.83" customWidth="1" style="129" min="1282" max="1282"/>
    <col width="11.67" customWidth="1" style="129" min="1283" max="1283"/>
    <col width="13.67" customWidth="1" style="129" min="1284" max="1284"/>
    <col width="12.5" customWidth="1" style="129" min="1285" max="1285"/>
    <col width="13.83" customWidth="1" style="129" min="1286" max="1286"/>
    <col width="13.5" customWidth="1" style="129" min="1287" max="1287"/>
    <col width="17.5" customWidth="1" style="129" min="1288" max="1288"/>
    <col width="13.34" customWidth="1" style="129" min="1289" max="1289"/>
    <col width="17.5" customWidth="1" style="129" min="1290" max="1290"/>
    <col width="12.16" customWidth="1" style="129" min="1291" max="1291"/>
    <col width="22.5" customWidth="1" style="129" min="1292" max="1292"/>
    <col width="9.16" customWidth="1" style="129" min="1293" max="1293"/>
    <col hidden="1" width="13" customWidth="1" style="129" min="1294" max="1294"/>
    <col width="9.16" customWidth="1" style="129" min="1295" max="1536"/>
    <col width="14.52" customWidth="1" style="129" min="1537" max="1537"/>
    <col width="10.83" customWidth="1" style="129" min="1538" max="1538"/>
    <col width="11.67" customWidth="1" style="129" min="1539" max="1539"/>
    <col width="13.67" customWidth="1" style="129" min="1540" max="1540"/>
    <col width="12.5" customWidth="1" style="129" min="1541" max="1541"/>
    <col width="13.83" customWidth="1" style="129" min="1542" max="1542"/>
    <col width="13.5" customWidth="1" style="129" min="1543" max="1543"/>
    <col width="17.5" customWidth="1" style="129" min="1544" max="1544"/>
    <col width="13.34" customWidth="1" style="129" min="1545" max="1545"/>
    <col width="17.5" customWidth="1" style="129" min="1546" max="1546"/>
    <col width="12.16" customWidth="1" style="129" min="1547" max="1547"/>
    <col width="22.5" customWidth="1" style="129" min="1548" max="1548"/>
    <col width="9.16" customWidth="1" style="129" min="1549" max="1549"/>
    <col hidden="1" width="13" customWidth="1" style="129" min="1550" max="1550"/>
    <col width="9.16" customWidth="1" style="129" min="1551" max="1792"/>
    <col width="14.52" customWidth="1" style="129" min="1793" max="1793"/>
    <col width="10.83" customWidth="1" style="129" min="1794" max="1794"/>
    <col width="11.67" customWidth="1" style="129" min="1795" max="1795"/>
    <col width="13.67" customWidth="1" style="129" min="1796" max="1796"/>
    <col width="12.5" customWidth="1" style="129" min="1797" max="1797"/>
    <col width="13.83" customWidth="1" style="129" min="1798" max="1798"/>
    <col width="13.5" customWidth="1" style="129" min="1799" max="1799"/>
    <col width="17.5" customWidth="1" style="129" min="1800" max="1800"/>
    <col width="13.34" customWidth="1" style="129" min="1801" max="1801"/>
    <col width="17.5" customWidth="1" style="129" min="1802" max="1802"/>
    <col width="12.16" customWidth="1" style="129" min="1803" max="1803"/>
    <col width="22.5" customWidth="1" style="129" min="1804" max="1804"/>
    <col width="9.16" customWidth="1" style="129" min="1805" max="1805"/>
    <col hidden="1" width="13" customWidth="1" style="129" min="1806" max="1806"/>
    <col width="9.16" customWidth="1" style="129" min="1807" max="2048"/>
    <col width="14.52" customWidth="1" style="129" min="2049" max="2049"/>
    <col width="10.83" customWidth="1" style="129" min="2050" max="2050"/>
    <col width="11.67" customWidth="1" style="129" min="2051" max="2051"/>
    <col width="13.67" customWidth="1" style="129" min="2052" max="2052"/>
    <col width="12.5" customWidth="1" style="129" min="2053" max="2053"/>
    <col width="13.83" customWidth="1" style="129" min="2054" max="2054"/>
    <col width="13.5" customWidth="1" style="129" min="2055" max="2055"/>
    <col width="17.5" customWidth="1" style="129" min="2056" max="2056"/>
    <col width="13.34" customWidth="1" style="129" min="2057" max="2057"/>
    <col width="17.5" customWidth="1" style="129" min="2058" max="2058"/>
    <col width="12.16" customWidth="1" style="129" min="2059" max="2059"/>
    <col width="22.5" customWidth="1" style="129" min="2060" max="2060"/>
    <col width="9.16" customWidth="1" style="129" min="2061" max="2061"/>
    <col hidden="1" width="13" customWidth="1" style="129" min="2062" max="2062"/>
    <col width="9.16" customWidth="1" style="129" min="2063" max="2304"/>
    <col width="14.52" customWidth="1" style="129" min="2305" max="2305"/>
    <col width="10.83" customWidth="1" style="129" min="2306" max="2306"/>
    <col width="11.67" customWidth="1" style="129" min="2307" max="2307"/>
    <col width="13.67" customWidth="1" style="129" min="2308" max="2308"/>
    <col width="12.5" customWidth="1" style="129" min="2309" max="2309"/>
    <col width="13.83" customWidth="1" style="129" min="2310" max="2310"/>
    <col width="13.5" customWidth="1" style="129" min="2311" max="2311"/>
    <col width="17.5" customWidth="1" style="129" min="2312" max="2312"/>
    <col width="13.34" customWidth="1" style="129" min="2313" max="2313"/>
    <col width="17.5" customWidth="1" style="129" min="2314" max="2314"/>
    <col width="12.16" customWidth="1" style="129" min="2315" max="2315"/>
    <col width="22.5" customWidth="1" style="129" min="2316" max="2316"/>
    <col width="9.16" customWidth="1" style="129" min="2317" max="2317"/>
    <col hidden="1" width="13" customWidth="1" style="129" min="2318" max="2318"/>
    <col width="9.16" customWidth="1" style="129" min="2319" max="2560"/>
    <col width="14.52" customWidth="1" style="129" min="2561" max="2561"/>
    <col width="10.83" customWidth="1" style="129" min="2562" max="2562"/>
    <col width="11.67" customWidth="1" style="129" min="2563" max="2563"/>
    <col width="13.67" customWidth="1" style="129" min="2564" max="2564"/>
    <col width="12.5" customWidth="1" style="129" min="2565" max="2565"/>
    <col width="13.83" customWidth="1" style="129" min="2566" max="2566"/>
    <col width="13.5" customWidth="1" style="129" min="2567" max="2567"/>
    <col width="17.5" customWidth="1" style="129" min="2568" max="2568"/>
    <col width="13.34" customWidth="1" style="129" min="2569" max="2569"/>
    <col width="17.5" customWidth="1" style="129" min="2570" max="2570"/>
    <col width="12.16" customWidth="1" style="129" min="2571" max="2571"/>
    <col width="22.5" customWidth="1" style="129" min="2572" max="2572"/>
    <col width="9.16" customWidth="1" style="129" min="2573" max="2573"/>
    <col hidden="1" width="13" customWidth="1" style="129" min="2574" max="2574"/>
    <col width="9.16" customWidth="1" style="129" min="2575" max="2816"/>
    <col width="14.52" customWidth="1" style="129" min="2817" max="2817"/>
    <col width="10.83" customWidth="1" style="129" min="2818" max="2818"/>
    <col width="11.67" customWidth="1" style="129" min="2819" max="2819"/>
    <col width="13.67" customWidth="1" style="129" min="2820" max="2820"/>
    <col width="12.5" customWidth="1" style="129" min="2821" max="2821"/>
    <col width="13.83" customWidth="1" style="129" min="2822" max="2822"/>
    <col width="13.5" customWidth="1" style="129" min="2823" max="2823"/>
    <col width="17.5" customWidth="1" style="129" min="2824" max="2824"/>
    <col width="13.34" customWidth="1" style="129" min="2825" max="2825"/>
    <col width="17.5" customWidth="1" style="129" min="2826" max="2826"/>
    <col width="12.16" customWidth="1" style="129" min="2827" max="2827"/>
    <col width="22.5" customWidth="1" style="129" min="2828" max="2828"/>
    <col width="9.16" customWidth="1" style="129" min="2829" max="2829"/>
    <col hidden="1" width="13" customWidth="1" style="129" min="2830" max="2830"/>
    <col width="9.16" customWidth="1" style="129" min="2831" max="3072"/>
    <col width="14.52" customWidth="1" style="129" min="3073" max="3073"/>
    <col width="10.83" customWidth="1" style="129" min="3074" max="3074"/>
    <col width="11.67" customWidth="1" style="129" min="3075" max="3075"/>
    <col width="13.67" customWidth="1" style="129" min="3076" max="3076"/>
    <col width="12.5" customWidth="1" style="129" min="3077" max="3077"/>
    <col width="13.83" customWidth="1" style="129" min="3078" max="3078"/>
    <col width="13.5" customWidth="1" style="129" min="3079" max="3079"/>
    <col width="17.5" customWidth="1" style="129" min="3080" max="3080"/>
    <col width="13.34" customWidth="1" style="129" min="3081" max="3081"/>
    <col width="17.5" customWidth="1" style="129" min="3082" max="3082"/>
    <col width="12.16" customWidth="1" style="129" min="3083" max="3083"/>
    <col width="22.5" customWidth="1" style="129" min="3084" max="3084"/>
    <col width="9.16" customWidth="1" style="129" min="3085" max="3085"/>
    <col hidden="1" width="13" customWidth="1" style="129" min="3086" max="3086"/>
    <col width="9.16" customWidth="1" style="129" min="3087" max="3328"/>
    <col width="14.52" customWidth="1" style="129" min="3329" max="3329"/>
    <col width="10.83" customWidth="1" style="129" min="3330" max="3330"/>
    <col width="11.67" customWidth="1" style="129" min="3331" max="3331"/>
    <col width="13.67" customWidth="1" style="129" min="3332" max="3332"/>
    <col width="12.5" customWidth="1" style="129" min="3333" max="3333"/>
    <col width="13.83" customWidth="1" style="129" min="3334" max="3334"/>
    <col width="13.5" customWidth="1" style="129" min="3335" max="3335"/>
    <col width="17.5" customWidth="1" style="129" min="3336" max="3336"/>
    <col width="13.34" customWidth="1" style="129" min="3337" max="3337"/>
    <col width="17.5" customWidth="1" style="129" min="3338" max="3338"/>
    <col width="12.16" customWidth="1" style="129" min="3339" max="3339"/>
    <col width="22.5" customWidth="1" style="129" min="3340" max="3340"/>
    <col width="9.16" customWidth="1" style="129" min="3341" max="3341"/>
    <col hidden="1" width="13" customWidth="1" style="129" min="3342" max="3342"/>
    <col width="9.16" customWidth="1" style="129" min="3343" max="3584"/>
    <col width="14.52" customWidth="1" style="129" min="3585" max="3585"/>
    <col width="10.83" customWidth="1" style="129" min="3586" max="3586"/>
    <col width="11.67" customWidth="1" style="129" min="3587" max="3587"/>
    <col width="13.67" customWidth="1" style="129" min="3588" max="3588"/>
    <col width="12.5" customWidth="1" style="129" min="3589" max="3589"/>
    <col width="13.83" customWidth="1" style="129" min="3590" max="3590"/>
    <col width="13.5" customWidth="1" style="129" min="3591" max="3591"/>
    <col width="17.5" customWidth="1" style="129" min="3592" max="3592"/>
    <col width="13.34" customWidth="1" style="129" min="3593" max="3593"/>
    <col width="17.5" customWidth="1" style="129" min="3594" max="3594"/>
    <col width="12.16" customWidth="1" style="129" min="3595" max="3595"/>
    <col width="22.5" customWidth="1" style="129" min="3596" max="3596"/>
    <col width="9.16" customWidth="1" style="129" min="3597" max="3597"/>
    <col hidden="1" width="13" customWidth="1" style="129" min="3598" max="3598"/>
    <col width="9.16" customWidth="1" style="129" min="3599" max="3840"/>
    <col width="14.52" customWidth="1" style="129" min="3841" max="3841"/>
    <col width="10.83" customWidth="1" style="129" min="3842" max="3842"/>
    <col width="11.67" customWidth="1" style="129" min="3843" max="3843"/>
    <col width="13.67" customWidth="1" style="129" min="3844" max="3844"/>
    <col width="12.5" customWidth="1" style="129" min="3845" max="3845"/>
    <col width="13.83" customWidth="1" style="129" min="3846" max="3846"/>
    <col width="13.5" customWidth="1" style="129" min="3847" max="3847"/>
    <col width="17.5" customWidth="1" style="129" min="3848" max="3848"/>
    <col width="13.34" customWidth="1" style="129" min="3849" max="3849"/>
    <col width="17.5" customWidth="1" style="129" min="3850" max="3850"/>
    <col width="12.16" customWidth="1" style="129" min="3851" max="3851"/>
    <col width="22.5" customWidth="1" style="129" min="3852" max="3852"/>
    <col width="9.16" customWidth="1" style="129" min="3853" max="3853"/>
    <col hidden="1" width="13" customWidth="1" style="129" min="3854" max="3854"/>
    <col width="9.16" customWidth="1" style="129" min="3855" max="4096"/>
    <col width="14.52" customWidth="1" style="129" min="4097" max="4097"/>
    <col width="10.83" customWidth="1" style="129" min="4098" max="4098"/>
    <col width="11.67" customWidth="1" style="129" min="4099" max="4099"/>
    <col width="13.67" customWidth="1" style="129" min="4100" max="4100"/>
    <col width="12.5" customWidth="1" style="129" min="4101" max="4101"/>
    <col width="13.83" customWidth="1" style="129" min="4102" max="4102"/>
    <col width="13.5" customWidth="1" style="129" min="4103" max="4103"/>
    <col width="17.5" customWidth="1" style="129" min="4104" max="4104"/>
    <col width="13.34" customWidth="1" style="129" min="4105" max="4105"/>
    <col width="17.5" customWidth="1" style="129" min="4106" max="4106"/>
    <col width="12.16" customWidth="1" style="129" min="4107" max="4107"/>
    <col width="22.5" customWidth="1" style="129" min="4108" max="4108"/>
    <col width="9.16" customWidth="1" style="129" min="4109" max="4109"/>
    <col hidden="1" width="13" customWidth="1" style="129" min="4110" max="4110"/>
    <col width="9.16" customWidth="1" style="129" min="4111" max="4352"/>
    <col width="14.52" customWidth="1" style="129" min="4353" max="4353"/>
    <col width="10.83" customWidth="1" style="129" min="4354" max="4354"/>
    <col width="11.67" customWidth="1" style="129" min="4355" max="4355"/>
    <col width="13.67" customWidth="1" style="129" min="4356" max="4356"/>
    <col width="12.5" customWidth="1" style="129" min="4357" max="4357"/>
    <col width="13.83" customWidth="1" style="129" min="4358" max="4358"/>
    <col width="13.5" customWidth="1" style="129" min="4359" max="4359"/>
    <col width="17.5" customWidth="1" style="129" min="4360" max="4360"/>
    <col width="13.34" customWidth="1" style="129" min="4361" max="4361"/>
    <col width="17.5" customWidth="1" style="129" min="4362" max="4362"/>
    <col width="12.16" customWidth="1" style="129" min="4363" max="4363"/>
    <col width="22.5" customWidth="1" style="129" min="4364" max="4364"/>
    <col width="9.16" customWidth="1" style="129" min="4365" max="4365"/>
    <col hidden="1" width="13" customWidth="1" style="129" min="4366" max="4366"/>
    <col width="9.16" customWidth="1" style="129" min="4367" max="4608"/>
    <col width="14.52" customWidth="1" style="129" min="4609" max="4609"/>
    <col width="10.83" customWidth="1" style="129" min="4610" max="4610"/>
    <col width="11.67" customWidth="1" style="129" min="4611" max="4611"/>
    <col width="13.67" customWidth="1" style="129" min="4612" max="4612"/>
    <col width="12.5" customWidth="1" style="129" min="4613" max="4613"/>
    <col width="13.83" customWidth="1" style="129" min="4614" max="4614"/>
    <col width="13.5" customWidth="1" style="129" min="4615" max="4615"/>
    <col width="17.5" customWidth="1" style="129" min="4616" max="4616"/>
    <col width="13.34" customWidth="1" style="129" min="4617" max="4617"/>
    <col width="17.5" customWidth="1" style="129" min="4618" max="4618"/>
    <col width="12.16" customWidth="1" style="129" min="4619" max="4619"/>
    <col width="22.5" customWidth="1" style="129" min="4620" max="4620"/>
    <col width="9.16" customWidth="1" style="129" min="4621" max="4621"/>
    <col hidden="1" width="13" customWidth="1" style="129" min="4622" max="4622"/>
    <col width="9.16" customWidth="1" style="129" min="4623" max="4864"/>
    <col width="14.52" customWidth="1" style="129" min="4865" max="4865"/>
    <col width="10.83" customWidth="1" style="129" min="4866" max="4866"/>
    <col width="11.67" customWidth="1" style="129" min="4867" max="4867"/>
    <col width="13.67" customWidth="1" style="129" min="4868" max="4868"/>
    <col width="12.5" customWidth="1" style="129" min="4869" max="4869"/>
    <col width="13.83" customWidth="1" style="129" min="4870" max="4870"/>
    <col width="13.5" customWidth="1" style="129" min="4871" max="4871"/>
    <col width="17.5" customWidth="1" style="129" min="4872" max="4872"/>
    <col width="13.34" customWidth="1" style="129" min="4873" max="4873"/>
    <col width="17.5" customWidth="1" style="129" min="4874" max="4874"/>
    <col width="12.16" customWidth="1" style="129" min="4875" max="4875"/>
    <col width="22.5" customWidth="1" style="129" min="4876" max="4876"/>
    <col width="9.16" customWidth="1" style="129" min="4877" max="4877"/>
    <col hidden="1" width="13" customWidth="1" style="129" min="4878" max="4878"/>
    <col width="9.16" customWidth="1" style="129" min="4879" max="5120"/>
    <col width="14.52" customWidth="1" style="129" min="5121" max="5121"/>
    <col width="10.83" customWidth="1" style="129" min="5122" max="5122"/>
    <col width="11.67" customWidth="1" style="129" min="5123" max="5123"/>
    <col width="13.67" customWidth="1" style="129" min="5124" max="5124"/>
    <col width="12.5" customWidth="1" style="129" min="5125" max="5125"/>
    <col width="13.83" customWidth="1" style="129" min="5126" max="5126"/>
    <col width="13.5" customWidth="1" style="129" min="5127" max="5127"/>
    <col width="17.5" customWidth="1" style="129" min="5128" max="5128"/>
    <col width="13.34" customWidth="1" style="129" min="5129" max="5129"/>
    <col width="17.5" customWidth="1" style="129" min="5130" max="5130"/>
    <col width="12.16" customWidth="1" style="129" min="5131" max="5131"/>
    <col width="22.5" customWidth="1" style="129" min="5132" max="5132"/>
    <col width="9.16" customWidth="1" style="129" min="5133" max="5133"/>
    <col hidden="1" width="13" customWidth="1" style="129" min="5134" max="5134"/>
    <col width="9.16" customWidth="1" style="129" min="5135" max="5376"/>
    <col width="14.52" customWidth="1" style="129" min="5377" max="5377"/>
    <col width="10.83" customWidth="1" style="129" min="5378" max="5378"/>
    <col width="11.67" customWidth="1" style="129" min="5379" max="5379"/>
    <col width="13.67" customWidth="1" style="129" min="5380" max="5380"/>
    <col width="12.5" customWidth="1" style="129" min="5381" max="5381"/>
    <col width="13.83" customWidth="1" style="129" min="5382" max="5382"/>
    <col width="13.5" customWidth="1" style="129" min="5383" max="5383"/>
    <col width="17.5" customWidth="1" style="129" min="5384" max="5384"/>
    <col width="13.34" customWidth="1" style="129" min="5385" max="5385"/>
    <col width="17.5" customWidth="1" style="129" min="5386" max="5386"/>
    <col width="12.16" customWidth="1" style="129" min="5387" max="5387"/>
    <col width="22.5" customWidth="1" style="129" min="5388" max="5388"/>
    <col width="9.16" customWidth="1" style="129" min="5389" max="5389"/>
    <col hidden="1" width="13" customWidth="1" style="129" min="5390" max="5390"/>
    <col width="9.16" customWidth="1" style="129" min="5391" max="5632"/>
    <col width="14.52" customWidth="1" style="129" min="5633" max="5633"/>
    <col width="10.83" customWidth="1" style="129" min="5634" max="5634"/>
    <col width="11.67" customWidth="1" style="129" min="5635" max="5635"/>
    <col width="13.67" customWidth="1" style="129" min="5636" max="5636"/>
    <col width="12.5" customWidth="1" style="129" min="5637" max="5637"/>
    <col width="13.83" customWidth="1" style="129" min="5638" max="5638"/>
    <col width="13.5" customWidth="1" style="129" min="5639" max="5639"/>
    <col width="17.5" customWidth="1" style="129" min="5640" max="5640"/>
    <col width="13.34" customWidth="1" style="129" min="5641" max="5641"/>
    <col width="17.5" customWidth="1" style="129" min="5642" max="5642"/>
    <col width="12.16" customWidth="1" style="129" min="5643" max="5643"/>
    <col width="22.5" customWidth="1" style="129" min="5644" max="5644"/>
    <col width="9.16" customWidth="1" style="129" min="5645" max="5645"/>
    <col hidden="1" width="13" customWidth="1" style="129" min="5646" max="5646"/>
    <col width="9.16" customWidth="1" style="129" min="5647" max="5888"/>
    <col width="14.52" customWidth="1" style="129" min="5889" max="5889"/>
    <col width="10.83" customWidth="1" style="129" min="5890" max="5890"/>
    <col width="11.67" customWidth="1" style="129" min="5891" max="5891"/>
    <col width="13.67" customWidth="1" style="129" min="5892" max="5892"/>
    <col width="12.5" customWidth="1" style="129" min="5893" max="5893"/>
    <col width="13.83" customWidth="1" style="129" min="5894" max="5894"/>
    <col width="13.5" customWidth="1" style="129" min="5895" max="5895"/>
    <col width="17.5" customWidth="1" style="129" min="5896" max="5896"/>
    <col width="13.34" customWidth="1" style="129" min="5897" max="5897"/>
    <col width="17.5" customWidth="1" style="129" min="5898" max="5898"/>
    <col width="12.16" customWidth="1" style="129" min="5899" max="5899"/>
    <col width="22.5" customWidth="1" style="129" min="5900" max="5900"/>
    <col width="9.16" customWidth="1" style="129" min="5901" max="5901"/>
    <col hidden="1" width="13" customWidth="1" style="129" min="5902" max="5902"/>
    <col width="9.16" customWidth="1" style="129" min="5903" max="6144"/>
    <col width="14.52" customWidth="1" style="129" min="6145" max="6145"/>
    <col width="10.83" customWidth="1" style="129" min="6146" max="6146"/>
    <col width="11.67" customWidth="1" style="129" min="6147" max="6147"/>
    <col width="13.67" customWidth="1" style="129" min="6148" max="6148"/>
    <col width="12.5" customWidth="1" style="129" min="6149" max="6149"/>
    <col width="13.83" customWidth="1" style="129" min="6150" max="6150"/>
    <col width="13.5" customWidth="1" style="129" min="6151" max="6151"/>
    <col width="17.5" customWidth="1" style="129" min="6152" max="6152"/>
    <col width="13.34" customWidth="1" style="129" min="6153" max="6153"/>
    <col width="17.5" customWidth="1" style="129" min="6154" max="6154"/>
    <col width="12.16" customWidth="1" style="129" min="6155" max="6155"/>
    <col width="22.5" customWidth="1" style="129" min="6156" max="6156"/>
    <col width="9.16" customWidth="1" style="129" min="6157" max="6157"/>
    <col hidden="1" width="13" customWidth="1" style="129" min="6158" max="6158"/>
    <col width="9.16" customWidth="1" style="129" min="6159" max="6400"/>
    <col width="14.52" customWidth="1" style="129" min="6401" max="6401"/>
    <col width="10.83" customWidth="1" style="129" min="6402" max="6402"/>
    <col width="11.67" customWidth="1" style="129" min="6403" max="6403"/>
    <col width="13.67" customWidth="1" style="129" min="6404" max="6404"/>
    <col width="12.5" customWidth="1" style="129" min="6405" max="6405"/>
    <col width="13.83" customWidth="1" style="129" min="6406" max="6406"/>
    <col width="13.5" customWidth="1" style="129" min="6407" max="6407"/>
    <col width="17.5" customWidth="1" style="129" min="6408" max="6408"/>
    <col width="13.34" customWidth="1" style="129" min="6409" max="6409"/>
    <col width="17.5" customWidth="1" style="129" min="6410" max="6410"/>
    <col width="12.16" customWidth="1" style="129" min="6411" max="6411"/>
    <col width="22.5" customWidth="1" style="129" min="6412" max="6412"/>
    <col width="9.16" customWidth="1" style="129" min="6413" max="6413"/>
    <col hidden="1" width="13" customWidth="1" style="129" min="6414" max="6414"/>
    <col width="9.16" customWidth="1" style="129" min="6415" max="6656"/>
    <col width="14.52" customWidth="1" style="129" min="6657" max="6657"/>
    <col width="10.83" customWidth="1" style="129" min="6658" max="6658"/>
    <col width="11.67" customWidth="1" style="129" min="6659" max="6659"/>
    <col width="13.67" customWidth="1" style="129" min="6660" max="6660"/>
    <col width="12.5" customWidth="1" style="129" min="6661" max="6661"/>
    <col width="13.83" customWidth="1" style="129" min="6662" max="6662"/>
    <col width="13.5" customWidth="1" style="129" min="6663" max="6663"/>
    <col width="17.5" customWidth="1" style="129" min="6664" max="6664"/>
    <col width="13.34" customWidth="1" style="129" min="6665" max="6665"/>
    <col width="17.5" customWidth="1" style="129" min="6666" max="6666"/>
    <col width="12.16" customWidth="1" style="129" min="6667" max="6667"/>
    <col width="22.5" customWidth="1" style="129" min="6668" max="6668"/>
    <col width="9.16" customWidth="1" style="129" min="6669" max="6669"/>
    <col hidden="1" width="13" customWidth="1" style="129" min="6670" max="6670"/>
    <col width="9.16" customWidth="1" style="129" min="6671" max="6912"/>
    <col width="14.52" customWidth="1" style="129" min="6913" max="6913"/>
    <col width="10.83" customWidth="1" style="129" min="6914" max="6914"/>
    <col width="11.67" customWidth="1" style="129" min="6915" max="6915"/>
    <col width="13.67" customWidth="1" style="129" min="6916" max="6916"/>
    <col width="12.5" customWidth="1" style="129" min="6917" max="6917"/>
    <col width="13.83" customWidth="1" style="129" min="6918" max="6918"/>
    <col width="13.5" customWidth="1" style="129" min="6919" max="6919"/>
    <col width="17.5" customWidth="1" style="129" min="6920" max="6920"/>
    <col width="13.34" customWidth="1" style="129" min="6921" max="6921"/>
    <col width="17.5" customWidth="1" style="129" min="6922" max="6922"/>
    <col width="12.16" customWidth="1" style="129" min="6923" max="6923"/>
    <col width="22.5" customWidth="1" style="129" min="6924" max="6924"/>
    <col width="9.16" customWidth="1" style="129" min="6925" max="6925"/>
    <col hidden="1" width="13" customWidth="1" style="129" min="6926" max="6926"/>
    <col width="9.16" customWidth="1" style="129" min="6927" max="7168"/>
    <col width="14.52" customWidth="1" style="129" min="7169" max="7169"/>
    <col width="10.83" customWidth="1" style="129" min="7170" max="7170"/>
    <col width="11.67" customWidth="1" style="129" min="7171" max="7171"/>
    <col width="13.67" customWidth="1" style="129" min="7172" max="7172"/>
    <col width="12.5" customWidth="1" style="129" min="7173" max="7173"/>
    <col width="13.83" customWidth="1" style="129" min="7174" max="7174"/>
    <col width="13.5" customWidth="1" style="129" min="7175" max="7175"/>
    <col width="17.5" customWidth="1" style="129" min="7176" max="7176"/>
    <col width="13.34" customWidth="1" style="129" min="7177" max="7177"/>
    <col width="17.5" customWidth="1" style="129" min="7178" max="7178"/>
    <col width="12.16" customWidth="1" style="129" min="7179" max="7179"/>
    <col width="22.5" customWidth="1" style="129" min="7180" max="7180"/>
    <col width="9.16" customWidth="1" style="129" min="7181" max="7181"/>
    <col hidden="1" width="13" customWidth="1" style="129" min="7182" max="7182"/>
    <col width="9.16" customWidth="1" style="129" min="7183" max="7424"/>
    <col width="14.52" customWidth="1" style="129" min="7425" max="7425"/>
    <col width="10.83" customWidth="1" style="129" min="7426" max="7426"/>
    <col width="11.67" customWidth="1" style="129" min="7427" max="7427"/>
    <col width="13.67" customWidth="1" style="129" min="7428" max="7428"/>
    <col width="12.5" customWidth="1" style="129" min="7429" max="7429"/>
    <col width="13.83" customWidth="1" style="129" min="7430" max="7430"/>
    <col width="13.5" customWidth="1" style="129" min="7431" max="7431"/>
    <col width="17.5" customWidth="1" style="129" min="7432" max="7432"/>
    <col width="13.34" customWidth="1" style="129" min="7433" max="7433"/>
    <col width="17.5" customWidth="1" style="129" min="7434" max="7434"/>
    <col width="12.16" customWidth="1" style="129" min="7435" max="7435"/>
    <col width="22.5" customWidth="1" style="129" min="7436" max="7436"/>
    <col width="9.16" customWidth="1" style="129" min="7437" max="7437"/>
    <col hidden="1" width="13" customWidth="1" style="129" min="7438" max="7438"/>
    <col width="9.16" customWidth="1" style="129" min="7439" max="7680"/>
    <col width="14.52" customWidth="1" style="129" min="7681" max="7681"/>
    <col width="10.83" customWidth="1" style="129" min="7682" max="7682"/>
    <col width="11.67" customWidth="1" style="129" min="7683" max="7683"/>
    <col width="13.67" customWidth="1" style="129" min="7684" max="7684"/>
    <col width="12.5" customWidth="1" style="129" min="7685" max="7685"/>
    <col width="13.83" customWidth="1" style="129" min="7686" max="7686"/>
    <col width="13.5" customWidth="1" style="129" min="7687" max="7687"/>
    <col width="17.5" customWidth="1" style="129" min="7688" max="7688"/>
    <col width="13.34" customWidth="1" style="129" min="7689" max="7689"/>
    <col width="17.5" customWidth="1" style="129" min="7690" max="7690"/>
    <col width="12.16" customWidth="1" style="129" min="7691" max="7691"/>
    <col width="22.5" customWidth="1" style="129" min="7692" max="7692"/>
    <col width="9.16" customWidth="1" style="129" min="7693" max="7693"/>
    <col hidden="1" width="13" customWidth="1" style="129" min="7694" max="7694"/>
    <col width="9.16" customWidth="1" style="129" min="7695" max="7936"/>
    <col width="14.52" customWidth="1" style="129" min="7937" max="7937"/>
    <col width="10.83" customWidth="1" style="129" min="7938" max="7938"/>
    <col width="11.67" customWidth="1" style="129" min="7939" max="7939"/>
    <col width="13.67" customWidth="1" style="129" min="7940" max="7940"/>
    <col width="12.5" customWidth="1" style="129" min="7941" max="7941"/>
    <col width="13.83" customWidth="1" style="129" min="7942" max="7942"/>
    <col width="13.5" customWidth="1" style="129" min="7943" max="7943"/>
    <col width="17.5" customWidth="1" style="129" min="7944" max="7944"/>
    <col width="13.34" customWidth="1" style="129" min="7945" max="7945"/>
    <col width="17.5" customWidth="1" style="129" min="7946" max="7946"/>
    <col width="12.16" customWidth="1" style="129" min="7947" max="7947"/>
    <col width="22.5" customWidth="1" style="129" min="7948" max="7948"/>
    <col width="9.16" customWidth="1" style="129" min="7949" max="7949"/>
    <col hidden="1" width="13" customWidth="1" style="129" min="7950" max="7950"/>
    <col width="9.16" customWidth="1" style="129" min="7951" max="8192"/>
    <col width="14.52" customWidth="1" style="129" min="8193" max="8193"/>
    <col width="10.83" customWidth="1" style="129" min="8194" max="8194"/>
    <col width="11.67" customWidth="1" style="129" min="8195" max="8195"/>
    <col width="13.67" customWidth="1" style="129" min="8196" max="8196"/>
    <col width="12.5" customWidth="1" style="129" min="8197" max="8197"/>
    <col width="13.83" customWidth="1" style="129" min="8198" max="8198"/>
    <col width="13.5" customWidth="1" style="129" min="8199" max="8199"/>
    <col width="17.5" customWidth="1" style="129" min="8200" max="8200"/>
    <col width="13.34" customWidth="1" style="129" min="8201" max="8201"/>
    <col width="17.5" customWidth="1" style="129" min="8202" max="8202"/>
    <col width="12.16" customWidth="1" style="129" min="8203" max="8203"/>
    <col width="22.5" customWidth="1" style="129" min="8204" max="8204"/>
    <col width="9.16" customWidth="1" style="129" min="8205" max="8205"/>
    <col hidden="1" width="13" customWidth="1" style="129" min="8206" max="8206"/>
    <col width="9.16" customWidth="1" style="129" min="8207" max="8448"/>
    <col width="14.52" customWidth="1" style="129" min="8449" max="8449"/>
    <col width="10.83" customWidth="1" style="129" min="8450" max="8450"/>
    <col width="11.67" customWidth="1" style="129" min="8451" max="8451"/>
    <col width="13.67" customWidth="1" style="129" min="8452" max="8452"/>
    <col width="12.5" customWidth="1" style="129" min="8453" max="8453"/>
    <col width="13.83" customWidth="1" style="129" min="8454" max="8454"/>
    <col width="13.5" customWidth="1" style="129" min="8455" max="8455"/>
    <col width="17.5" customWidth="1" style="129" min="8456" max="8456"/>
    <col width="13.34" customWidth="1" style="129" min="8457" max="8457"/>
    <col width="17.5" customWidth="1" style="129" min="8458" max="8458"/>
    <col width="12.16" customWidth="1" style="129" min="8459" max="8459"/>
    <col width="22.5" customWidth="1" style="129" min="8460" max="8460"/>
    <col width="9.16" customWidth="1" style="129" min="8461" max="8461"/>
    <col hidden="1" width="13" customWidth="1" style="129" min="8462" max="8462"/>
    <col width="9.16" customWidth="1" style="129" min="8463" max="8704"/>
    <col width="14.52" customWidth="1" style="129" min="8705" max="8705"/>
    <col width="10.83" customWidth="1" style="129" min="8706" max="8706"/>
    <col width="11.67" customWidth="1" style="129" min="8707" max="8707"/>
    <col width="13.67" customWidth="1" style="129" min="8708" max="8708"/>
    <col width="12.5" customWidth="1" style="129" min="8709" max="8709"/>
    <col width="13.83" customWidth="1" style="129" min="8710" max="8710"/>
    <col width="13.5" customWidth="1" style="129" min="8711" max="8711"/>
    <col width="17.5" customWidth="1" style="129" min="8712" max="8712"/>
    <col width="13.34" customWidth="1" style="129" min="8713" max="8713"/>
    <col width="17.5" customWidth="1" style="129" min="8714" max="8714"/>
    <col width="12.16" customWidth="1" style="129" min="8715" max="8715"/>
    <col width="22.5" customWidth="1" style="129" min="8716" max="8716"/>
    <col width="9.16" customWidth="1" style="129" min="8717" max="8717"/>
    <col hidden="1" width="13" customWidth="1" style="129" min="8718" max="8718"/>
    <col width="9.16" customWidth="1" style="129" min="8719" max="8960"/>
    <col width="14.52" customWidth="1" style="129" min="8961" max="8961"/>
    <col width="10.83" customWidth="1" style="129" min="8962" max="8962"/>
    <col width="11.67" customWidth="1" style="129" min="8963" max="8963"/>
    <col width="13.67" customWidth="1" style="129" min="8964" max="8964"/>
    <col width="12.5" customWidth="1" style="129" min="8965" max="8965"/>
    <col width="13.83" customWidth="1" style="129" min="8966" max="8966"/>
    <col width="13.5" customWidth="1" style="129" min="8967" max="8967"/>
    <col width="17.5" customWidth="1" style="129" min="8968" max="8968"/>
    <col width="13.34" customWidth="1" style="129" min="8969" max="8969"/>
    <col width="17.5" customWidth="1" style="129" min="8970" max="8970"/>
    <col width="12.16" customWidth="1" style="129" min="8971" max="8971"/>
    <col width="22.5" customWidth="1" style="129" min="8972" max="8972"/>
    <col width="9.16" customWidth="1" style="129" min="8973" max="8973"/>
    <col hidden="1" width="13" customWidth="1" style="129" min="8974" max="8974"/>
    <col width="9.16" customWidth="1" style="129" min="8975" max="9216"/>
    <col width="14.52" customWidth="1" style="129" min="9217" max="9217"/>
    <col width="10.83" customWidth="1" style="129" min="9218" max="9218"/>
    <col width="11.67" customWidth="1" style="129" min="9219" max="9219"/>
    <col width="13.67" customWidth="1" style="129" min="9220" max="9220"/>
    <col width="12.5" customWidth="1" style="129" min="9221" max="9221"/>
    <col width="13.83" customWidth="1" style="129" min="9222" max="9222"/>
    <col width="13.5" customWidth="1" style="129" min="9223" max="9223"/>
    <col width="17.5" customWidth="1" style="129" min="9224" max="9224"/>
    <col width="13.34" customWidth="1" style="129" min="9225" max="9225"/>
    <col width="17.5" customWidth="1" style="129" min="9226" max="9226"/>
    <col width="12.16" customWidth="1" style="129" min="9227" max="9227"/>
    <col width="22.5" customWidth="1" style="129" min="9228" max="9228"/>
    <col width="9.16" customWidth="1" style="129" min="9229" max="9229"/>
    <col hidden="1" width="13" customWidth="1" style="129" min="9230" max="9230"/>
    <col width="9.16" customWidth="1" style="129" min="9231" max="9472"/>
    <col width="14.52" customWidth="1" style="129" min="9473" max="9473"/>
    <col width="10.83" customWidth="1" style="129" min="9474" max="9474"/>
    <col width="11.67" customWidth="1" style="129" min="9475" max="9475"/>
    <col width="13.67" customWidth="1" style="129" min="9476" max="9476"/>
    <col width="12.5" customWidth="1" style="129" min="9477" max="9477"/>
    <col width="13.83" customWidth="1" style="129" min="9478" max="9478"/>
    <col width="13.5" customWidth="1" style="129" min="9479" max="9479"/>
    <col width="17.5" customWidth="1" style="129" min="9480" max="9480"/>
    <col width="13.34" customWidth="1" style="129" min="9481" max="9481"/>
    <col width="17.5" customWidth="1" style="129" min="9482" max="9482"/>
    <col width="12.16" customWidth="1" style="129" min="9483" max="9483"/>
    <col width="22.5" customWidth="1" style="129" min="9484" max="9484"/>
    <col width="9.16" customWidth="1" style="129" min="9485" max="9485"/>
    <col hidden="1" width="13" customWidth="1" style="129" min="9486" max="9486"/>
    <col width="9.16" customWidth="1" style="129" min="9487" max="9728"/>
    <col width="14.52" customWidth="1" style="129" min="9729" max="9729"/>
    <col width="10.83" customWidth="1" style="129" min="9730" max="9730"/>
    <col width="11.67" customWidth="1" style="129" min="9731" max="9731"/>
    <col width="13.67" customWidth="1" style="129" min="9732" max="9732"/>
    <col width="12.5" customWidth="1" style="129" min="9733" max="9733"/>
    <col width="13.83" customWidth="1" style="129" min="9734" max="9734"/>
    <col width="13.5" customWidth="1" style="129" min="9735" max="9735"/>
    <col width="17.5" customWidth="1" style="129" min="9736" max="9736"/>
    <col width="13.34" customWidth="1" style="129" min="9737" max="9737"/>
    <col width="17.5" customWidth="1" style="129" min="9738" max="9738"/>
    <col width="12.16" customWidth="1" style="129" min="9739" max="9739"/>
    <col width="22.5" customWidth="1" style="129" min="9740" max="9740"/>
    <col width="9.16" customWidth="1" style="129" min="9741" max="9741"/>
    <col hidden="1" width="13" customWidth="1" style="129" min="9742" max="9742"/>
    <col width="9.16" customWidth="1" style="129" min="9743" max="9984"/>
    <col width="14.52" customWidth="1" style="129" min="9985" max="9985"/>
    <col width="10.83" customWidth="1" style="129" min="9986" max="9986"/>
    <col width="11.67" customWidth="1" style="129" min="9987" max="9987"/>
    <col width="13.67" customWidth="1" style="129" min="9988" max="9988"/>
    <col width="12.5" customWidth="1" style="129" min="9989" max="9989"/>
    <col width="13.83" customWidth="1" style="129" min="9990" max="9990"/>
    <col width="13.5" customWidth="1" style="129" min="9991" max="9991"/>
    <col width="17.5" customWidth="1" style="129" min="9992" max="9992"/>
    <col width="13.34" customWidth="1" style="129" min="9993" max="9993"/>
    <col width="17.5" customWidth="1" style="129" min="9994" max="9994"/>
    <col width="12.16" customWidth="1" style="129" min="9995" max="9995"/>
    <col width="22.5" customWidth="1" style="129" min="9996" max="9996"/>
    <col width="9.16" customWidth="1" style="129" min="9997" max="9997"/>
    <col hidden="1" width="13" customWidth="1" style="129" min="9998" max="9998"/>
    <col width="9.16" customWidth="1" style="129" min="9999" max="10240"/>
    <col width="14.52" customWidth="1" style="129" min="10241" max="10241"/>
    <col width="10.83" customWidth="1" style="129" min="10242" max="10242"/>
    <col width="11.67" customWidth="1" style="129" min="10243" max="10243"/>
    <col width="13.67" customWidth="1" style="129" min="10244" max="10244"/>
    <col width="12.5" customWidth="1" style="129" min="10245" max="10245"/>
    <col width="13.83" customWidth="1" style="129" min="10246" max="10246"/>
    <col width="13.5" customWidth="1" style="129" min="10247" max="10247"/>
    <col width="17.5" customWidth="1" style="129" min="10248" max="10248"/>
    <col width="13.34" customWidth="1" style="129" min="10249" max="10249"/>
    <col width="17.5" customWidth="1" style="129" min="10250" max="10250"/>
    <col width="12.16" customWidth="1" style="129" min="10251" max="10251"/>
    <col width="22.5" customWidth="1" style="129" min="10252" max="10252"/>
    <col width="9.16" customWidth="1" style="129" min="10253" max="10253"/>
    <col hidden="1" width="13" customWidth="1" style="129" min="10254" max="10254"/>
    <col width="9.16" customWidth="1" style="129" min="10255" max="10496"/>
    <col width="14.52" customWidth="1" style="129" min="10497" max="10497"/>
    <col width="10.83" customWidth="1" style="129" min="10498" max="10498"/>
    <col width="11.67" customWidth="1" style="129" min="10499" max="10499"/>
    <col width="13.67" customWidth="1" style="129" min="10500" max="10500"/>
    <col width="12.5" customWidth="1" style="129" min="10501" max="10501"/>
    <col width="13.83" customWidth="1" style="129" min="10502" max="10502"/>
    <col width="13.5" customWidth="1" style="129" min="10503" max="10503"/>
    <col width="17.5" customWidth="1" style="129" min="10504" max="10504"/>
    <col width="13.34" customWidth="1" style="129" min="10505" max="10505"/>
    <col width="17.5" customWidth="1" style="129" min="10506" max="10506"/>
    <col width="12.16" customWidth="1" style="129" min="10507" max="10507"/>
    <col width="22.5" customWidth="1" style="129" min="10508" max="10508"/>
    <col width="9.16" customWidth="1" style="129" min="10509" max="10509"/>
    <col hidden="1" width="13" customWidth="1" style="129" min="10510" max="10510"/>
    <col width="9.16" customWidth="1" style="129" min="10511" max="10752"/>
    <col width="14.52" customWidth="1" style="129" min="10753" max="10753"/>
    <col width="10.83" customWidth="1" style="129" min="10754" max="10754"/>
    <col width="11.67" customWidth="1" style="129" min="10755" max="10755"/>
    <col width="13.67" customWidth="1" style="129" min="10756" max="10756"/>
    <col width="12.5" customWidth="1" style="129" min="10757" max="10757"/>
    <col width="13.83" customWidth="1" style="129" min="10758" max="10758"/>
    <col width="13.5" customWidth="1" style="129" min="10759" max="10759"/>
    <col width="17.5" customWidth="1" style="129" min="10760" max="10760"/>
    <col width="13.34" customWidth="1" style="129" min="10761" max="10761"/>
    <col width="17.5" customWidth="1" style="129" min="10762" max="10762"/>
    <col width="12.16" customWidth="1" style="129" min="10763" max="10763"/>
    <col width="22.5" customWidth="1" style="129" min="10764" max="10764"/>
    <col width="9.16" customWidth="1" style="129" min="10765" max="10765"/>
    <col hidden="1" width="13" customWidth="1" style="129" min="10766" max="10766"/>
    <col width="9.16" customWidth="1" style="129" min="10767" max="11008"/>
    <col width="14.52" customWidth="1" style="129" min="11009" max="11009"/>
    <col width="10.83" customWidth="1" style="129" min="11010" max="11010"/>
    <col width="11.67" customWidth="1" style="129" min="11011" max="11011"/>
    <col width="13.67" customWidth="1" style="129" min="11012" max="11012"/>
    <col width="12.5" customWidth="1" style="129" min="11013" max="11013"/>
    <col width="13.83" customWidth="1" style="129" min="11014" max="11014"/>
    <col width="13.5" customWidth="1" style="129" min="11015" max="11015"/>
    <col width="17.5" customWidth="1" style="129" min="11016" max="11016"/>
    <col width="13.34" customWidth="1" style="129" min="11017" max="11017"/>
    <col width="17.5" customWidth="1" style="129" min="11018" max="11018"/>
    <col width="12.16" customWidth="1" style="129" min="11019" max="11019"/>
    <col width="22.5" customWidth="1" style="129" min="11020" max="11020"/>
    <col width="9.16" customWidth="1" style="129" min="11021" max="11021"/>
    <col hidden="1" width="13" customWidth="1" style="129" min="11022" max="11022"/>
    <col width="9.16" customWidth="1" style="129" min="11023" max="11264"/>
    <col width="14.52" customWidth="1" style="129" min="11265" max="11265"/>
    <col width="10.83" customWidth="1" style="129" min="11266" max="11266"/>
    <col width="11.67" customWidth="1" style="129" min="11267" max="11267"/>
    <col width="13.67" customWidth="1" style="129" min="11268" max="11268"/>
    <col width="12.5" customWidth="1" style="129" min="11269" max="11269"/>
    <col width="13.83" customWidth="1" style="129" min="11270" max="11270"/>
    <col width="13.5" customWidth="1" style="129" min="11271" max="11271"/>
    <col width="17.5" customWidth="1" style="129" min="11272" max="11272"/>
    <col width="13.34" customWidth="1" style="129" min="11273" max="11273"/>
    <col width="17.5" customWidth="1" style="129" min="11274" max="11274"/>
    <col width="12.16" customWidth="1" style="129" min="11275" max="11275"/>
    <col width="22.5" customWidth="1" style="129" min="11276" max="11276"/>
    <col width="9.16" customWidth="1" style="129" min="11277" max="11277"/>
    <col hidden="1" width="13" customWidth="1" style="129" min="11278" max="11278"/>
    <col width="9.16" customWidth="1" style="129" min="11279" max="11520"/>
    <col width="14.52" customWidth="1" style="129" min="11521" max="11521"/>
    <col width="10.83" customWidth="1" style="129" min="11522" max="11522"/>
    <col width="11.67" customWidth="1" style="129" min="11523" max="11523"/>
    <col width="13.67" customWidth="1" style="129" min="11524" max="11524"/>
    <col width="12.5" customWidth="1" style="129" min="11525" max="11525"/>
    <col width="13.83" customWidth="1" style="129" min="11526" max="11526"/>
    <col width="13.5" customWidth="1" style="129" min="11527" max="11527"/>
    <col width="17.5" customWidth="1" style="129" min="11528" max="11528"/>
    <col width="13.34" customWidth="1" style="129" min="11529" max="11529"/>
    <col width="17.5" customWidth="1" style="129" min="11530" max="11530"/>
    <col width="12.16" customWidth="1" style="129" min="11531" max="11531"/>
    <col width="22.5" customWidth="1" style="129" min="11532" max="11532"/>
    <col width="9.16" customWidth="1" style="129" min="11533" max="11533"/>
    <col hidden="1" width="13" customWidth="1" style="129" min="11534" max="11534"/>
    <col width="9.16" customWidth="1" style="129" min="11535" max="11776"/>
    <col width="14.52" customWidth="1" style="129" min="11777" max="11777"/>
    <col width="10.83" customWidth="1" style="129" min="11778" max="11778"/>
    <col width="11.67" customWidth="1" style="129" min="11779" max="11779"/>
    <col width="13.67" customWidth="1" style="129" min="11780" max="11780"/>
    <col width="12.5" customWidth="1" style="129" min="11781" max="11781"/>
    <col width="13.83" customWidth="1" style="129" min="11782" max="11782"/>
    <col width="13.5" customWidth="1" style="129" min="11783" max="11783"/>
    <col width="17.5" customWidth="1" style="129" min="11784" max="11784"/>
    <col width="13.34" customWidth="1" style="129" min="11785" max="11785"/>
    <col width="17.5" customWidth="1" style="129" min="11786" max="11786"/>
    <col width="12.16" customWidth="1" style="129" min="11787" max="11787"/>
    <col width="22.5" customWidth="1" style="129" min="11788" max="11788"/>
    <col width="9.16" customWidth="1" style="129" min="11789" max="11789"/>
    <col hidden="1" width="13" customWidth="1" style="129" min="11790" max="11790"/>
    <col width="9.16" customWidth="1" style="129" min="11791" max="12032"/>
    <col width="14.52" customWidth="1" style="129" min="12033" max="12033"/>
    <col width="10.83" customWidth="1" style="129" min="12034" max="12034"/>
    <col width="11.67" customWidth="1" style="129" min="12035" max="12035"/>
    <col width="13.67" customWidth="1" style="129" min="12036" max="12036"/>
    <col width="12.5" customWidth="1" style="129" min="12037" max="12037"/>
    <col width="13.83" customWidth="1" style="129" min="12038" max="12038"/>
    <col width="13.5" customWidth="1" style="129" min="12039" max="12039"/>
    <col width="17.5" customWidth="1" style="129" min="12040" max="12040"/>
    <col width="13.34" customWidth="1" style="129" min="12041" max="12041"/>
    <col width="17.5" customWidth="1" style="129" min="12042" max="12042"/>
    <col width="12.16" customWidth="1" style="129" min="12043" max="12043"/>
    <col width="22.5" customWidth="1" style="129" min="12044" max="12044"/>
    <col width="9.16" customWidth="1" style="129" min="12045" max="12045"/>
    <col hidden="1" width="13" customWidth="1" style="129" min="12046" max="12046"/>
    <col width="9.16" customWidth="1" style="129" min="12047" max="12288"/>
    <col width="14.52" customWidth="1" style="129" min="12289" max="12289"/>
    <col width="10.83" customWidth="1" style="129" min="12290" max="12290"/>
    <col width="11.67" customWidth="1" style="129" min="12291" max="12291"/>
    <col width="13.67" customWidth="1" style="129" min="12292" max="12292"/>
    <col width="12.5" customWidth="1" style="129" min="12293" max="12293"/>
    <col width="13.83" customWidth="1" style="129" min="12294" max="12294"/>
    <col width="13.5" customWidth="1" style="129" min="12295" max="12295"/>
    <col width="17.5" customWidth="1" style="129" min="12296" max="12296"/>
    <col width="13.34" customWidth="1" style="129" min="12297" max="12297"/>
    <col width="17.5" customWidth="1" style="129" min="12298" max="12298"/>
    <col width="12.16" customWidth="1" style="129" min="12299" max="12299"/>
    <col width="22.5" customWidth="1" style="129" min="12300" max="12300"/>
    <col width="9.16" customWidth="1" style="129" min="12301" max="12301"/>
    <col hidden="1" width="13" customWidth="1" style="129" min="12302" max="12302"/>
    <col width="9.16" customWidth="1" style="129" min="12303" max="12544"/>
    <col width="14.52" customWidth="1" style="129" min="12545" max="12545"/>
    <col width="10.83" customWidth="1" style="129" min="12546" max="12546"/>
    <col width="11.67" customWidth="1" style="129" min="12547" max="12547"/>
    <col width="13.67" customWidth="1" style="129" min="12548" max="12548"/>
    <col width="12.5" customWidth="1" style="129" min="12549" max="12549"/>
    <col width="13.83" customWidth="1" style="129" min="12550" max="12550"/>
    <col width="13.5" customWidth="1" style="129" min="12551" max="12551"/>
    <col width="17.5" customWidth="1" style="129" min="12552" max="12552"/>
    <col width="13.34" customWidth="1" style="129" min="12553" max="12553"/>
    <col width="17.5" customWidth="1" style="129" min="12554" max="12554"/>
    <col width="12.16" customWidth="1" style="129" min="12555" max="12555"/>
    <col width="22.5" customWidth="1" style="129" min="12556" max="12556"/>
    <col width="9.16" customWidth="1" style="129" min="12557" max="12557"/>
    <col hidden="1" width="13" customWidth="1" style="129" min="12558" max="12558"/>
    <col width="9.16" customWidth="1" style="129" min="12559" max="12800"/>
    <col width="14.52" customWidth="1" style="129" min="12801" max="12801"/>
    <col width="10.83" customWidth="1" style="129" min="12802" max="12802"/>
    <col width="11.67" customWidth="1" style="129" min="12803" max="12803"/>
    <col width="13.67" customWidth="1" style="129" min="12804" max="12804"/>
    <col width="12.5" customWidth="1" style="129" min="12805" max="12805"/>
    <col width="13.83" customWidth="1" style="129" min="12806" max="12806"/>
    <col width="13.5" customWidth="1" style="129" min="12807" max="12807"/>
    <col width="17.5" customWidth="1" style="129" min="12808" max="12808"/>
    <col width="13.34" customWidth="1" style="129" min="12809" max="12809"/>
    <col width="17.5" customWidth="1" style="129" min="12810" max="12810"/>
    <col width="12.16" customWidth="1" style="129" min="12811" max="12811"/>
    <col width="22.5" customWidth="1" style="129" min="12812" max="12812"/>
    <col width="9.16" customWidth="1" style="129" min="12813" max="12813"/>
    <col hidden="1" width="13" customWidth="1" style="129" min="12814" max="12814"/>
    <col width="9.16" customWidth="1" style="129" min="12815" max="13056"/>
    <col width="14.52" customWidth="1" style="129" min="13057" max="13057"/>
    <col width="10.83" customWidth="1" style="129" min="13058" max="13058"/>
    <col width="11.67" customWidth="1" style="129" min="13059" max="13059"/>
    <col width="13.67" customWidth="1" style="129" min="13060" max="13060"/>
    <col width="12.5" customWidth="1" style="129" min="13061" max="13061"/>
    <col width="13.83" customWidth="1" style="129" min="13062" max="13062"/>
    <col width="13.5" customWidth="1" style="129" min="13063" max="13063"/>
    <col width="17.5" customWidth="1" style="129" min="13064" max="13064"/>
    <col width="13.34" customWidth="1" style="129" min="13065" max="13065"/>
    <col width="17.5" customWidth="1" style="129" min="13066" max="13066"/>
    <col width="12.16" customWidth="1" style="129" min="13067" max="13067"/>
    <col width="22.5" customWidth="1" style="129" min="13068" max="13068"/>
    <col width="9.16" customWidth="1" style="129" min="13069" max="13069"/>
    <col hidden="1" width="13" customWidth="1" style="129" min="13070" max="13070"/>
    <col width="9.16" customWidth="1" style="129" min="13071" max="13312"/>
    <col width="14.52" customWidth="1" style="129" min="13313" max="13313"/>
    <col width="10.83" customWidth="1" style="129" min="13314" max="13314"/>
    <col width="11.67" customWidth="1" style="129" min="13315" max="13315"/>
    <col width="13.67" customWidth="1" style="129" min="13316" max="13316"/>
    <col width="12.5" customWidth="1" style="129" min="13317" max="13317"/>
    <col width="13.83" customWidth="1" style="129" min="13318" max="13318"/>
    <col width="13.5" customWidth="1" style="129" min="13319" max="13319"/>
    <col width="17.5" customWidth="1" style="129" min="13320" max="13320"/>
    <col width="13.34" customWidth="1" style="129" min="13321" max="13321"/>
    <col width="17.5" customWidth="1" style="129" min="13322" max="13322"/>
    <col width="12.16" customWidth="1" style="129" min="13323" max="13323"/>
    <col width="22.5" customWidth="1" style="129" min="13324" max="13324"/>
    <col width="9.16" customWidth="1" style="129" min="13325" max="13325"/>
    <col hidden="1" width="13" customWidth="1" style="129" min="13326" max="13326"/>
    <col width="9.16" customWidth="1" style="129" min="13327" max="13568"/>
    <col width="14.52" customWidth="1" style="129" min="13569" max="13569"/>
    <col width="10.83" customWidth="1" style="129" min="13570" max="13570"/>
    <col width="11.67" customWidth="1" style="129" min="13571" max="13571"/>
    <col width="13.67" customWidth="1" style="129" min="13572" max="13572"/>
    <col width="12.5" customWidth="1" style="129" min="13573" max="13573"/>
    <col width="13.83" customWidth="1" style="129" min="13574" max="13574"/>
    <col width="13.5" customWidth="1" style="129" min="13575" max="13575"/>
    <col width="17.5" customWidth="1" style="129" min="13576" max="13576"/>
    <col width="13.34" customWidth="1" style="129" min="13577" max="13577"/>
    <col width="17.5" customWidth="1" style="129" min="13578" max="13578"/>
    <col width="12.16" customWidth="1" style="129" min="13579" max="13579"/>
    <col width="22.5" customWidth="1" style="129" min="13580" max="13580"/>
    <col width="9.16" customWidth="1" style="129" min="13581" max="13581"/>
    <col hidden="1" width="13" customWidth="1" style="129" min="13582" max="13582"/>
    <col width="9.16" customWidth="1" style="129" min="13583" max="13824"/>
    <col width="14.52" customWidth="1" style="129" min="13825" max="13825"/>
    <col width="10.83" customWidth="1" style="129" min="13826" max="13826"/>
    <col width="11.67" customWidth="1" style="129" min="13827" max="13827"/>
    <col width="13.67" customWidth="1" style="129" min="13828" max="13828"/>
    <col width="12.5" customWidth="1" style="129" min="13829" max="13829"/>
    <col width="13.83" customWidth="1" style="129" min="13830" max="13830"/>
    <col width="13.5" customWidth="1" style="129" min="13831" max="13831"/>
    <col width="17.5" customWidth="1" style="129" min="13832" max="13832"/>
    <col width="13.34" customWidth="1" style="129" min="13833" max="13833"/>
    <col width="17.5" customWidth="1" style="129" min="13834" max="13834"/>
    <col width="12.16" customWidth="1" style="129" min="13835" max="13835"/>
    <col width="22.5" customWidth="1" style="129" min="13836" max="13836"/>
    <col width="9.16" customWidth="1" style="129" min="13837" max="13837"/>
    <col hidden="1" width="13" customWidth="1" style="129" min="13838" max="13838"/>
    <col width="9.16" customWidth="1" style="129" min="13839" max="14080"/>
    <col width="14.52" customWidth="1" style="129" min="14081" max="14081"/>
    <col width="10.83" customWidth="1" style="129" min="14082" max="14082"/>
    <col width="11.67" customWidth="1" style="129" min="14083" max="14083"/>
    <col width="13.67" customWidth="1" style="129" min="14084" max="14084"/>
    <col width="12.5" customWidth="1" style="129" min="14085" max="14085"/>
    <col width="13.83" customWidth="1" style="129" min="14086" max="14086"/>
    <col width="13.5" customWidth="1" style="129" min="14087" max="14087"/>
    <col width="17.5" customWidth="1" style="129" min="14088" max="14088"/>
    <col width="13.34" customWidth="1" style="129" min="14089" max="14089"/>
    <col width="17.5" customWidth="1" style="129" min="14090" max="14090"/>
    <col width="12.16" customWidth="1" style="129" min="14091" max="14091"/>
    <col width="22.5" customWidth="1" style="129" min="14092" max="14092"/>
    <col width="9.16" customWidth="1" style="129" min="14093" max="14093"/>
    <col hidden="1" width="13" customWidth="1" style="129" min="14094" max="14094"/>
    <col width="9.16" customWidth="1" style="129" min="14095" max="14336"/>
    <col width="14.52" customWidth="1" style="129" min="14337" max="14337"/>
    <col width="10.83" customWidth="1" style="129" min="14338" max="14338"/>
    <col width="11.67" customWidth="1" style="129" min="14339" max="14339"/>
    <col width="13.67" customWidth="1" style="129" min="14340" max="14340"/>
    <col width="12.5" customWidth="1" style="129" min="14341" max="14341"/>
    <col width="13.83" customWidth="1" style="129" min="14342" max="14342"/>
    <col width="13.5" customWidth="1" style="129" min="14343" max="14343"/>
    <col width="17.5" customWidth="1" style="129" min="14344" max="14344"/>
    <col width="13.34" customWidth="1" style="129" min="14345" max="14345"/>
    <col width="17.5" customWidth="1" style="129" min="14346" max="14346"/>
    <col width="12.16" customWidth="1" style="129" min="14347" max="14347"/>
    <col width="22.5" customWidth="1" style="129" min="14348" max="14348"/>
    <col width="9.16" customWidth="1" style="129" min="14349" max="14349"/>
    <col hidden="1" width="13" customWidth="1" style="129" min="14350" max="14350"/>
    <col width="9.16" customWidth="1" style="129" min="14351" max="14592"/>
    <col width="14.52" customWidth="1" style="129" min="14593" max="14593"/>
    <col width="10.83" customWidth="1" style="129" min="14594" max="14594"/>
    <col width="11.67" customWidth="1" style="129" min="14595" max="14595"/>
    <col width="13.67" customWidth="1" style="129" min="14596" max="14596"/>
    <col width="12.5" customWidth="1" style="129" min="14597" max="14597"/>
    <col width="13.83" customWidth="1" style="129" min="14598" max="14598"/>
    <col width="13.5" customWidth="1" style="129" min="14599" max="14599"/>
    <col width="17.5" customWidth="1" style="129" min="14600" max="14600"/>
    <col width="13.34" customWidth="1" style="129" min="14601" max="14601"/>
    <col width="17.5" customWidth="1" style="129" min="14602" max="14602"/>
    <col width="12.16" customWidth="1" style="129" min="14603" max="14603"/>
    <col width="22.5" customWidth="1" style="129" min="14604" max="14604"/>
    <col width="9.16" customWidth="1" style="129" min="14605" max="14605"/>
    <col hidden="1" width="13" customWidth="1" style="129" min="14606" max="14606"/>
    <col width="9.16" customWidth="1" style="129" min="14607" max="14848"/>
    <col width="14.52" customWidth="1" style="129" min="14849" max="14849"/>
    <col width="10.83" customWidth="1" style="129" min="14850" max="14850"/>
    <col width="11.67" customWidth="1" style="129" min="14851" max="14851"/>
    <col width="13.67" customWidth="1" style="129" min="14852" max="14852"/>
    <col width="12.5" customWidth="1" style="129" min="14853" max="14853"/>
    <col width="13.83" customWidth="1" style="129" min="14854" max="14854"/>
    <col width="13.5" customWidth="1" style="129" min="14855" max="14855"/>
    <col width="17.5" customWidth="1" style="129" min="14856" max="14856"/>
    <col width="13.34" customWidth="1" style="129" min="14857" max="14857"/>
    <col width="17.5" customWidth="1" style="129" min="14858" max="14858"/>
    <col width="12.16" customWidth="1" style="129" min="14859" max="14859"/>
    <col width="22.5" customWidth="1" style="129" min="14860" max="14860"/>
    <col width="9.16" customWidth="1" style="129" min="14861" max="14861"/>
    <col hidden="1" width="13" customWidth="1" style="129" min="14862" max="14862"/>
    <col width="9.16" customWidth="1" style="129" min="14863" max="15104"/>
    <col width="14.52" customWidth="1" style="129" min="15105" max="15105"/>
    <col width="10.83" customWidth="1" style="129" min="15106" max="15106"/>
    <col width="11.67" customWidth="1" style="129" min="15107" max="15107"/>
    <col width="13.67" customWidth="1" style="129" min="15108" max="15108"/>
    <col width="12.5" customWidth="1" style="129" min="15109" max="15109"/>
    <col width="13.83" customWidth="1" style="129" min="15110" max="15110"/>
    <col width="13.5" customWidth="1" style="129" min="15111" max="15111"/>
    <col width="17.5" customWidth="1" style="129" min="15112" max="15112"/>
    <col width="13.34" customWidth="1" style="129" min="15113" max="15113"/>
    <col width="17.5" customWidth="1" style="129" min="15114" max="15114"/>
    <col width="12.16" customWidth="1" style="129" min="15115" max="15115"/>
    <col width="22.5" customWidth="1" style="129" min="15116" max="15116"/>
    <col width="9.16" customWidth="1" style="129" min="15117" max="15117"/>
    <col hidden="1" width="13" customWidth="1" style="129" min="15118" max="15118"/>
    <col width="9.16" customWidth="1" style="129" min="15119" max="15360"/>
    <col width="14.52" customWidth="1" style="129" min="15361" max="15361"/>
    <col width="10.83" customWidth="1" style="129" min="15362" max="15362"/>
    <col width="11.67" customWidth="1" style="129" min="15363" max="15363"/>
    <col width="13.67" customWidth="1" style="129" min="15364" max="15364"/>
    <col width="12.5" customWidth="1" style="129" min="15365" max="15365"/>
    <col width="13.83" customWidth="1" style="129" min="15366" max="15366"/>
    <col width="13.5" customWidth="1" style="129" min="15367" max="15367"/>
    <col width="17.5" customWidth="1" style="129" min="15368" max="15368"/>
    <col width="13.34" customWidth="1" style="129" min="15369" max="15369"/>
    <col width="17.5" customWidth="1" style="129" min="15370" max="15370"/>
    <col width="12.16" customWidth="1" style="129" min="15371" max="15371"/>
    <col width="22.5" customWidth="1" style="129" min="15372" max="15372"/>
    <col width="9.16" customWidth="1" style="129" min="15373" max="15373"/>
    <col hidden="1" width="13" customWidth="1" style="129" min="15374" max="15374"/>
    <col width="9.16" customWidth="1" style="129" min="15375" max="15616"/>
    <col width="14.52" customWidth="1" style="129" min="15617" max="15617"/>
    <col width="10.83" customWidth="1" style="129" min="15618" max="15618"/>
    <col width="11.67" customWidth="1" style="129" min="15619" max="15619"/>
    <col width="13.67" customWidth="1" style="129" min="15620" max="15620"/>
    <col width="12.5" customWidth="1" style="129" min="15621" max="15621"/>
    <col width="13.83" customWidth="1" style="129" min="15622" max="15622"/>
    <col width="13.5" customWidth="1" style="129" min="15623" max="15623"/>
    <col width="17.5" customWidth="1" style="129" min="15624" max="15624"/>
    <col width="13.34" customWidth="1" style="129" min="15625" max="15625"/>
    <col width="17.5" customWidth="1" style="129" min="15626" max="15626"/>
    <col width="12.16" customWidth="1" style="129" min="15627" max="15627"/>
    <col width="22.5" customWidth="1" style="129" min="15628" max="15628"/>
    <col width="9.16" customWidth="1" style="129" min="15629" max="15629"/>
    <col hidden="1" width="13" customWidth="1" style="129" min="15630" max="15630"/>
    <col width="9.16" customWidth="1" style="129" min="15631" max="15872"/>
    <col width="14.52" customWidth="1" style="129" min="15873" max="15873"/>
    <col width="10.83" customWidth="1" style="129" min="15874" max="15874"/>
    <col width="11.67" customWidth="1" style="129" min="15875" max="15875"/>
    <col width="13.67" customWidth="1" style="129" min="15876" max="15876"/>
    <col width="12.5" customWidth="1" style="129" min="15877" max="15877"/>
    <col width="13.83" customWidth="1" style="129" min="15878" max="15878"/>
    <col width="13.5" customWidth="1" style="129" min="15879" max="15879"/>
    <col width="17.5" customWidth="1" style="129" min="15880" max="15880"/>
    <col width="13.34" customWidth="1" style="129" min="15881" max="15881"/>
    <col width="17.5" customWidth="1" style="129" min="15882" max="15882"/>
    <col width="12.16" customWidth="1" style="129" min="15883" max="15883"/>
    <col width="22.5" customWidth="1" style="129" min="15884" max="15884"/>
    <col width="9.16" customWidth="1" style="129" min="15885" max="15885"/>
    <col hidden="1" width="13" customWidth="1" style="129" min="15886" max="15886"/>
    <col width="9.16" customWidth="1" style="129" min="15887" max="16128"/>
    <col width="14.52" customWidth="1" style="129" min="16129" max="16129"/>
    <col width="10.83" customWidth="1" style="129" min="16130" max="16130"/>
    <col width="11.67" customWidth="1" style="129" min="16131" max="16131"/>
    <col width="13.67" customWidth="1" style="129" min="16132" max="16132"/>
    <col width="12.5" customWidth="1" style="129" min="16133" max="16133"/>
    <col width="13.83" customWidth="1" style="129" min="16134" max="16134"/>
    <col width="13.5" customWidth="1" style="129" min="16135" max="16135"/>
    <col width="17.5" customWidth="1" style="129" min="16136" max="16136"/>
    <col width="13.34" customWidth="1" style="129" min="16137" max="16137"/>
    <col width="17.5" customWidth="1" style="129" min="16138" max="16138"/>
    <col width="12.16" customWidth="1" style="129" min="16139" max="16139"/>
    <col width="22.5" customWidth="1" style="129" min="16140" max="16140"/>
    <col width="9.16" customWidth="1" style="129" min="16141" max="16141"/>
    <col hidden="1" width="13" customWidth="1" style="129" min="16142" max="16142"/>
    <col width="9.16" customWidth="1" style="129" min="16143" max="16384"/>
  </cols>
  <sheetData>
    <row r="1" ht="15" customHeight="1" s="89">
      <c r="A1" s="132" t="inlineStr">
        <is>
          <t>CrCl Calculator</t>
        </is>
      </c>
      <c r="B1" s="133" t="n"/>
      <c r="D1" s="134" t="n"/>
    </row>
    <row r="2" ht="69.75" customHeight="1" s="89">
      <c r="A2" s="135" t="inlineStr">
        <is>
          <t>Height(in.):</t>
        </is>
      </c>
      <c r="B2" s="136" t="n"/>
      <c r="D2" s="137" t="inlineStr">
        <is>
          <t>IBW:</t>
        </is>
      </c>
      <c r="E2" s="138">
        <f>IF(COUNTA(B2:B6)&lt;5,"",IF(ISBLANK(B2)=TRUE(),"",IF(B6="Female",45.5+(2.3*(B2-60)),50+(2.3*(B2-60)))))</f>
        <v/>
      </c>
      <c r="F2" s="139" t="inlineStr">
        <is>
          <t>kg</t>
        </is>
      </c>
      <c r="G2" s="140" t="inlineStr">
        <is>
          <t>**All fields from Height to Male/Female must be filled out**</t>
        </is>
      </c>
    </row>
    <row r="3" ht="84" customHeight="1" s="89">
      <c r="A3" s="135" t="inlineStr">
        <is>
          <t>Weight (kg):</t>
        </is>
      </c>
      <c r="B3" s="136" t="n"/>
      <c r="C3" s="141" t="n"/>
      <c r="D3" s="137" t="inlineStr">
        <is>
          <t>TBW/IBW</t>
        </is>
      </c>
      <c r="E3" s="138">
        <f>IF(COUNTA(B2:B6)&lt;5,"",B3/E2)</f>
        <v/>
      </c>
      <c r="F3" s="139" t="n"/>
      <c r="G3" s="140" t="inlineStr">
        <is>
          <t>***If SCr is less than 1.0, a value of 1.0 will be used in the CrCl formula***</t>
        </is>
      </c>
    </row>
    <row r="4" ht="13.5" customHeight="1" s="89">
      <c r="A4" s="135" t="inlineStr">
        <is>
          <t>Age:</t>
        </is>
      </c>
      <c r="B4" s="136" t="n"/>
      <c r="D4" s="137" t="inlineStr">
        <is>
          <t>Adj. BW:</t>
        </is>
      </c>
      <c r="E4" s="138">
        <f>IF(COUNTA(B2:B6)&lt;5,"",IF(E2="","",E2+(0.4*(B3-E2))))</f>
        <v/>
      </c>
      <c r="F4" s="139" t="inlineStr">
        <is>
          <t>kg</t>
        </is>
      </c>
    </row>
    <row r="5" ht="13.5" customHeight="1" s="89">
      <c r="A5" s="135" t="inlineStr">
        <is>
          <t>SCr (mg/dL):</t>
        </is>
      </c>
      <c r="B5" s="136" t="n"/>
      <c r="C5" s="141" t="n"/>
      <c r="D5" s="137" t="inlineStr">
        <is>
          <t>CrCl (IBW):</t>
        </is>
      </c>
      <c r="E5" s="138">
        <f>IF(COUNTA(B2:B6)&lt;5,"",IF(ISBLANK(B5)=TRUE(),"",IF(B5&lt;=1,IF(B6="Female",((140-B4)*E2*0.85/72),((140-B4)*E2/72)),IF(B6="Female",((140-B4)*E2*0.85/72/B5),((140-B4)*E2/72/B5)))))</f>
        <v/>
      </c>
      <c r="F5" s="139" t="inlineStr">
        <is>
          <t>mL/min</t>
        </is>
      </c>
    </row>
    <row r="6" ht="13.5" customHeight="1" s="89">
      <c r="A6" s="135" t="inlineStr">
        <is>
          <t>Male/Female:</t>
        </is>
      </c>
      <c r="B6" s="136" t="n"/>
      <c r="D6" s="137" t="inlineStr">
        <is>
          <t>CrCl (ABW):</t>
        </is>
      </c>
      <c r="E6" s="138">
        <f>IF(COUNTA(B2:B6)&lt;5,"",IF(ISBLANK(B5)=TRUE(),"",IF(B5&lt;=1,IF(B6="Female",((140-B4)*E4*0.85/72),((140-B4)*E4/72)),IF(B6="Female",((140-B4)*E4*0.85/72/B5),((140-B4)*E4/72/B5)))))</f>
        <v/>
      </c>
      <c r="F6" s="139" t="inlineStr">
        <is>
          <t>mL/min</t>
        </is>
      </c>
    </row>
    <row r="7" ht="13.5" customHeight="1" s="89">
      <c r="D7" s="134" t="n"/>
    </row>
    <row r="8" ht="13.5" customHeight="1" s="89">
      <c r="D8" s="134" t="n"/>
    </row>
    <row r="9" ht="30" customHeight="1" s="89">
      <c r="A9" s="142" t="inlineStr">
        <is>
          <t>MRN</t>
        </is>
      </c>
      <c r="B9" s="142" t="inlineStr">
        <is>
          <t>Last name</t>
        </is>
      </c>
      <c r="C9" s="142" t="inlineStr">
        <is>
          <t>First Name</t>
        </is>
      </c>
      <c r="D9" s="143" t="inlineStr">
        <is>
          <t>Stop Warfarin On:</t>
        </is>
      </c>
      <c r="E9" s="143" t="inlineStr">
        <is>
          <t>Surgery Date</t>
        </is>
      </c>
      <c r="F9" s="143" t="inlineStr">
        <is>
          <t>Lab Date:</t>
        </is>
      </c>
      <c r="G9" s="142" t="inlineStr">
        <is>
          <t>Lab Loc:</t>
        </is>
      </c>
      <c r="H9" s="142" t="inlineStr">
        <is>
          <t>Type of Surgery</t>
        </is>
      </c>
      <c r="I9" s="142" t="inlineStr">
        <is>
          <t>Lovenox Dose (mg)</t>
        </is>
      </c>
      <c r="J9" s="142" t="inlineStr">
        <is>
          <t>Once or Twice Daily dosing?</t>
        </is>
      </c>
      <c r="K9" s="142" t="inlineStr">
        <is>
          <t>Next Syringe Size</t>
        </is>
      </c>
      <c r="L9" s="142" t="inlineStr">
        <is>
          <t>Prepared By</t>
        </is>
      </c>
    </row>
    <row r="10" ht="19.5" customHeight="1" s="89">
      <c r="A10" s="144" t="n">
        <v>0</v>
      </c>
      <c r="B10" s="144" t="inlineStr">
        <is>
          <t xml:space="preserve">Doe </t>
        </is>
      </c>
      <c r="C10" s="144" t="inlineStr">
        <is>
          <t>John</t>
        </is>
      </c>
      <c r="D10" s="145" t="n">
        <v>45904</v>
      </c>
      <c r="E10" s="145" t="n">
        <v>45905</v>
      </c>
      <c r="F10" s="145" t="n">
        <v>45915</v>
      </c>
      <c r="G10" s="144" t="inlineStr">
        <is>
          <t>KLHC</t>
        </is>
      </c>
      <c r="H10" s="144" t="inlineStr">
        <is>
          <t>Knee Surgery</t>
        </is>
      </c>
      <c r="I10" s="144" t="n">
        <v>150</v>
      </c>
      <c r="J10" s="144" t="inlineStr">
        <is>
          <t>Once</t>
        </is>
      </c>
      <c r="K10" s="146">
        <f>INDEX(References!$B$2:B9,MATCH(Table1[[#This Row],[Lovenox Dose (mg)]],References!$A$2:$A$9))</f>
        <v/>
      </c>
      <c r="L10" s="147" t="inlineStr">
        <is>
          <t>Andrew Tran, PharmD</t>
        </is>
      </c>
    </row>
    <row r="11" ht="13.5" customHeight="1" s="89">
      <c r="E11" s="141" t="n"/>
      <c r="F11" s="141" t="n"/>
      <c r="I11" s="148" t="n"/>
    </row>
    <row r="12" ht="13.5" customHeight="1" s="89">
      <c r="E12" s="141" t="n"/>
      <c r="F12" s="141" t="n"/>
      <c r="I12" s="148" t="n"/>
    </row>
    <row r="13" ht="13.5" customHeight="1" s="89">
      <c r="E13" s="141" t="n"/>
      <c r="F13" s="141" t="n"/>
      <c r="I13" s="148" t="n"/>
    </row>
    <row r="14" ht="13.5" customHeight="1" s="89">
      <c r="E14" s="141" t="n"/>
      <c r="F14" s="141" t="n"/>
      <c r="I14" s="148" t="n"/>
    </row>
    <row r="15" ht="13.5" customHeight="1" s="89">
      <c r="E15" s="141" t="n"/>
      <c r="F15" s="141" t="n"/>
      <c r="I15" s="148" t="n"/>
    </row>
    <row r="16" ht="13.5" customHeight="1" s="89">
      <c r="E16" s="141" t="n"/>
      <c r="F16" s="141" t="n"/>
      <c r="I16" s="148" t="n"/>
    </row>
    <row r="17" ht="13.5" customHeight="1" s="89">
      <c r="E17" s="141" t="n"/>
      <c r="F17" s="141" t="n"/>
      <c r="I17" s="148" t="n"/>
    </row>
    <row r="18" ht="13.5" customHeight="1" s="89">
      <c r="E18" s="141" t="n"/>
      <c r="F18" s="141" t="n"/>
      <c r="I18" s="148" t="n"/>
    </row>
  </sheetData>
  <sheetProtection selectLockedCells="0" selectUnlockedCells="0" sheet="1" objects="0" insertRows="1" insertHyperlinks="1" autoFilter="1" scenarios="0" formatColumns="1" deleteColumns="1" insertColumns="1" pivotTables="1" deleteRows="1" formatCells="1" formatRows="1" sort="1"/>
  <mergeCells count="1">
    <mergeCell ref="A1:B1"/>
  </mergeCells>
  <dataValidations count="5">
    <dataValidation sqref="K10 JG10 TC10 ACY10 AMU10 AWQ10 BGM10 BQI10 CAE10 CKA10 CTW10 DDS10 DNO10 DXK10 EHG10 ERC10 FAY10 FKU10 FUQ10 GEM10 GOI10 GYE10 HIA10 HRW10 IBS10 ILO10 IVK10 JFG10 JPC10 JYY10 KIU10 KSQ10 LCM10 LMI10 LWE10 MGA10 MPW10 MZS10 NJO10 NTK10 ODG10 ONC10 OWY10 PGU10 PQQ10 QAM10 QKI10 QUE10 REA10 RNW10 RXS10 SHO10 SRK10 TBG10 TLC10 TUY10 UEU10 UOQ10 UYM10 VII10 VSE10 WCA10 WLW10 WVS10" showDropDown="0" showInputMessage="1" showErrorMessage="1" allowBlank="1" type="list" errorStyle="stop" operator="equal">
      <formula1>"30,40,60,80,100,120,150,300"</formula1>
      <formula2>0</formula2>
    </dataValidation>
    <dataValidation sqref="K9 JG9 TC9 ACY9 AMU9 AWQ9 BGM9 BQI9 CAE9 CKA9 CTW9 DDS9 DNO9 DXK9 EHG9 ERC9 FAY9 FKU9 FUQ9 GEM9 GOI9 GYE9 HIA9 HRW9 IBS9 ILO9 IVK9 JFG9 JPC9 JYY9 KIU9 KSQ9 LCM9 LMI9 LWE9 MGA9 MPW9 MZS9 NJO9 NTK9 ODG9 ONC9 OWY9 PGU9 PQQ9 QAM9 QKI9 QUE9 REA9 RNW9 RXS9 SHO9 SRK9 TBG9 TLC9 TUY9 UEU9 UOQ9 UYM9 VII9 VSE9 WCA9 WLW9 WVS9" showDropDown="0" showInputMessage="1" showErrorMessage="1" allowBlank="1" errorStyle="stop" operator="equal">
      <formula1>0</formula1>
      <formula2>0</formula2>
    </dataValidation>
    <dataValidation sqref="IX6 ST6 ACP6 AML6 AWH6 BGD6 BPZ6 BZV6 CJR6 CTN6 DDJ6 DNF6 DXB6 EGX6 EQT6 FAP6 FKL6 FUH6 GED6 GNZ6 GXV6 HHR6 HRN6 IBJ6 ILF6 IVB6 JEX6 JOT6 JYP6 KIL6 KSH6 LCD6 LLZ6 LVV6 MFR6 MPN6 MZJ6 NJF6 NTB6 OCX6 OMT6 OWP6 PGL6 PQH6 QAD6 QJZ6 QTV6 RDR6 RNN6 RXJ6 SHF6 SRB6 TAX6 TKT6 TUP6 UEL6 UOH6 UYD6 VHZ6 VRV6 WBR6 WLN6 WVJ6" showDropDown="0" showInputMessage="1" showErrorMessage="1" allowBlank="1" type="list" errorStyle="stop" operator="between">
      <formula1>"Female,Male"</formula1>
      <formula2>0</formula2>
    </dataValidation>
    <dataValidation sqref="J10 JF10 TB10 ACX10 AMT10 AWP10 BGL10 BQH10 CAD10 CJZ10 CTV10 DDR10 DNN10 DXJ10 EHF10 ERB10 FAX10 FKT10 FUP10 GEL10 GOH10 GYD10 HHZ10 HRV10 IBR10 ILN10 IVJ10 JFF10 JPB10 JYX10 KIT10 KSP10 LCL10 LMH10 LWD10 MFZ10 MPV10 MZR10 NJN10 NTJ10 ODF10 ONB10 OWX10 PGT10 PQP10 QAL10 QKH10 QUD10 RDZ10 RNV10 RXR10 SHN10 SRJ10 TBF10 TLB10 TUX10 UET10 UOP10 UYL10 VIH10 VSD10 WBZ10 WLV10 WVR10" showDropDown="0" showInputMessage="1" showErrorMessage="1" allowBlank="1" type="list" errorStyle="stop" operator="between">
      <formula1>"Once,Twice"</formula1>
      <formula2>0</formula2>
    </dataValidation>
    <dataValidation sqref="I11:I36 JE11:JE36 TA11:TA36 ACW11:ACW36 AMS11:AMS36 AWO11:AWO36 BGK11:BGK36 BQG11:BQG36 CAC11:CAC36 CJY11:CJY36 CTU11:CTU36 DDQ11:DDQ36 DNM11:DNM36 DXI11:DXI36 EHE11:EHE36 ERA11:ERA36 FAW11:FAW36 FKS11:FKS36 FUO11:FUO36 GEK11:GEK36 GOG11:GOG36 GYC11:GYC36 HHY11:HHY36 HRU11:HRU36 IBQ11:IBQ36 ILM11:ILM36 IVI11:IVI36 JFE11:JFE36 JPA11:JPA36 JYW11:JYW36 KIS11:KIS36 KSO11:KSO36 LCK11:LCK36 LMG11:LMG36 LWC11:LWC36 MFY11:MFY36 MPU11:MPU36 MZQ11:MZQ36 NJM11:NJM36 NTI11:NTI36 ODE11:ODE36 ONA11:ONA36 OWW11:OWW36 PGS11:PGS36 PQO11:PQO36 QAK11:QAK36 QKG11:QKG36 QUC11:QUC36 RDY11:RDY36 RNU11:RNU36 RXQ11:RXQ36 SHM11:SHM36 SRI11:SRI36 TBE11:TBE36 TLA11:TLA36 TUW11:TUW36 UES11:UES36 UOO11:UOO36 UYK11:UYK36 VIG11:VIG36 VSC11:VSC36 WBY11:WBY36 WLU11:WLU36 WVQ11:WVQ36" showDropDown="0" showInputMessage="1" showErrorMessage="1" allowBlank="1" type="list" errorStyle="stop" operator="between">
      <formula1>dosinginterval</formula1>
      <formula2>0</formula2>
    </dataValidation>
  </dataValidations>
  <printOptions horizontalCentered="0" verticalCentered="0" headings="0" gridLines="0" gridLinesSet="1"/>
  <pageMargins left="0.4" right="0.4" top="0.4" bottom="0.4" header="0.511811023622047" footer="0.511811023622047"/>
  <pageSetup orientation="landscape" paperSize="1" scale="100" fitToHeight="0"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1"/>
  </sheetPr>
  <dimension ref="A1:J34"/>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I16" activeCellId="0" sqref="I16"/>
    </sheetView>
  </sheetViews>
  <sheetFormatPr baseColWidth="8" defaultColWidth="9.1640625" defaultRowHeight="15.75" customHeight="0" zeroHeight="0" outlineLevelRow="0"/>
  <cols>
    <col width="19" customWidth="1" style="149" min="1" max="1"/>
    <col width="17.5" customWidth="1" style="149" min="2" max="2"/>
    <col width="16.67" customWidth="1" style="149" min="3" max="4"/>
    <col width="19.16" customWidth="1" style="149" min="5" max="5"/>
    <col width="22.33" customWidth="1" style="149" min="6" max="6"/>
    <col width="9.16" customWidth="1" style="149" min="7" max="7"/>
    <col width="7.83" customWidth="1" style="149" min="8" max="8"/>
    <col width="27.5" customWidth="1" style="149" min="9" max="9"/>
    <col width="11.5" customWidth="1" style="149" min="10" max="10"/>
    <col width="12.83" customWidth="1" style="149" min="11" max="11"/>
    <col width="9.16" customWidth="1" style="149" min="12" max="257"/>
    <col width="15.51" customWidth="1" style="149" min="258" max="258"/>
    <col width="16.67" customWidth="1" style="149" min="259" max="260"/>
    <col width="19.16" customWidth="1" style="149" min="261" max="261"/>
    <col width="22.33" customWidth="1" style="149" min="262" max="262"/>
    <col width="9.16" customWidth="1" style="149" min="263" max="263"/>
    <col width="7.83" customWidth="1" style="149" min="264" max="264"/>
    <col hidden="1" width="13" customWidth="1" style="149" min="265" max="268"/>
    <col width="9.16" customWidth="1" style="149" min="269" max="513"/>
    <col width="15.51" customWidth="1" style="149" min="514" max="514"/>
    <col width="16.67" customWidth="1" style="149" min="515" max="516"/>
    <col width="19.16" customWidth="1" style="149" min="517" max="517"/>
    <col width="22.33" customWidth="1" style="149" min="518" max="518"/>
    <col width="9.16" customWidth="1" style="149" min="519" max="519"/>
    <col width="7.83" customWidth="1" style="149" min="520" max="520"/>
    <col hidden="1" width="13" customWidth="1" style="149" min="521" max="524"/>
    <col width="9.16" customWidth="1" style="149" min="525" max="769"/>
    <col width="15.51" customWidth="1" style="149" min="770" max="770"/>
    <col width="16.67" customWidth="1" style="149" min="771" max="772"/>
    <col width="19.16" customWidth="1" style="149" min="773" max="773"/>
    <col width="22.33" customWidth="1" style="149" min="774" max="774"/>
    <col width="9.16" customWidth="1" style="149" min="775" max="775"/>
    <col width="7.83" customWidth="1" style="149" min="776" max="776"/>
    <col hidden="1" width="13" customWidth="1" style="149" min="777" max="780"/>
    <col width="9.16" customWidth="1" style="149" min="781" max="1025"/>
    <col width="15.51" customWidth="1" style="149" min="1026" max="1026"/>
    <col width="16.67" customWidth="1" style="149" min="1027" max="1028"/>
    <col width="19.16" customWidth="1" style="149" min="1029" max="1029"/>
    <col width="22.33" customWidth="1" style="149" min="1030" max="1030"/>
    <col width="9.16" customWidth="1" style="149" min="1031" max="1031"/>
    <col width="7.83" customWidth="1" style="149" min="1032" max="1032"/>
    <col hidden="1" width="13" customWidth="1" style="149" min="1033" max="1036"/>
    <col width="9.16" customWidth="1" style="149" min="1037" max="1281"/>
    <col width="15.51" customWidth="1" style="149" min="1282" max="1282"/>
    <col width="16.67" customWidth="1" style="149" min="1283" max="1284"/>
    <col width="19.16" customWidth="1" style="149" min="1285" max="1285"/>
    <col width="22.33" customWidth="1" style="149" min="1286" max="1286"/>
    <col width="9.16" customWidth="1" style="149" min="1287" max="1287"/>
    <col width="7.83" customWidth="1" style="149" min="1288" max="1288"/>
    <col hidden="1" width="13" customWidth="1" style="149" min="1289" max="1292"/>
    <col width="9.16" customWidth="1" style="149" min="1293" max="1537"/>
    <col width="15.51" customWidth="1" style="149" min="1538" max="1538"/>
    <col width="16.67" customWidth="1" style="149" min="1539" max="1540"/>
    <col width="19.16" customWidth="1" style="149" min="1541" max="1541"/>
    <col width="22.33" customWidth="1" style="149" min="1542" max="1542"/>
    <col width="9.16" customWidth="1" style="149" min="1543" max="1543"/>
    <col width="7.83" customWidth="1" style="149" min="1544" max="1544"/>
    <col hidden="1" width="13" customWidth="1" style="149" min="1545" max="1548"/>
    <col width="9.16" customWidth="1" style="149" min="1549" max="1793"/>
    <col width="15.51" customWidth="1" style="149" min="1794" max="1794"/>
    <col width="16.67" customWidth="1" style="149" min="1795" max="1796"/>
    <col width="19.16" customWidth="1" style="149" min="1797" max="1797"/>
    <col width="22.33" customWidth="1" style="149" min="1798" max="1798"/>
    <col width="9.16" customWidth="1" style="149" min="1799" max="1799"/>
    <col width="7.83" customWidth="1" style="149" min="1800" max="1800"/>
    <col hidden="1" width="13" customWidth="1" style="149" min="1801" max="1804"/>
    <col width="9.16" customWidth="1" style="149" min="1805" max="2049"/>
    <col width="15.51" customWidth="1" style="149" min="2050" max="2050"/>
    <col width="16.67" customWidth="1" style="149" min="2051" max="2052"/>
    <col width="19.16" customWidth="1" style="149" min="2053" max="2053"/>
    <col width="22.33" customWidth="1" style="149" min="2054" max="2054"/>
    <col width="9.16" customWidth="1" style="149" min="2055" max="2055"/>
    <col width="7.83" customWidth="1" style="149" min="2056" max="2056"/>
    <col hidden="1" width="13" customWidth="1" style="149" min="2057" max="2060"/>
    <col width="9.16" customWidth="1" style="149" min="2061" max="2305"/>
    <col width="15.51" customWidth="1" style="149" min="2306" max="2306"/>
    <col width="16.67" customWidth="1" style="149" min="2307" max="2308"/>
    <col width="19.16" customWidth="1" style="149" min="2309" max="2309"/>
    <col width="22.33" customWidth="1" style="149" min="2310" max="2310"/>
    <col width="9.16" customWidth="1" style="149" min="2311" max="2311"/>
    <col width="7.83" customWidth="1" style="149" min="2312" max="2312"/>
    <col hidden="1" width="13" customWidth="1" style="149" min="2313" max="2316"/>
    <col width="9.16" customWidth="1" style="149" min="2317" max="2561"/>
    <col width="15.51" customWidth="1" style="149" min="2562" max="2562"/>
    <col width="16.67" customWidth="1" style="149" min="2563" max="2564"/>
    <col width="19.16" customWidth="1" style="149" min="2565" max="2565"/>
    <col width="22.33" customWidth="1" style="149" min="2566" max="2566"/>
    <col width="9.16" customWidth="1" style="149" min="2567" max="2567"/>
    <col width="7.83" customWidth="1" style="149" min="2568" max="2568"/>
    <col hidden="1" width="13" customWidth="1" style="149" min="2569" max="2572"/>
    <col width="9.16" customWidth="1" style="149" min="2573" max="2817"/>
    <col width="15.51" customWidth="1" style="149" min="2818" max="2818"/>
    <col width="16.67" customWidth="1" style="149" min="2819" max="2820"/>
    <col width="19.16" customWidth="1" style="149" min="2821" max="2821"/>
    <col width="22.33" customWidth="1" style="149" min="2822" max="2822"/>
    <col width="9.16" customWidth="1" style="149" min="2823" max="2823"/>
    <col width="7.83" customWidth="1" style="149" min="2824" max="2824"/>
    <col hidden="1" width="13" customWidth="1" style="149" min="2825" max="2828"/>
    <col width="9.16" customWidth="1" style="149" min="2829" max="3073"/>
    <col width="15.51" customWidth="1" style="149" min="3074" max="3074"/>
    <col width="16.67" customWidth="1" style="149" min="3075" max="3076"/>
    <col width="19.16" customWidth="1" style="149" min="3077" max="3077"/>
    <col width="22.33" customWidth="1" style="149" min="3078" max="3078"/>
    <col width="9.16" customWidth="1" style="149" min="3079" max="3079"/>
    <col width="7.83" customWidth="1" style="149" min="3080" max="3080"/>
    <col hidden="1" width="13" customWidth="1" style="149" min="3081" max="3084"/>
    <col width="9.16" customWidth="1" style="149" min="3085" max="3329"/>
    <col width="15.51" customWidth="1" style="149" min="3330" max="3330"/>
    <col width="16.67" customWidth="1" style="149" min="3331" max="3332"/>
    <col width="19.16" customWidth="1" style="149" min="3333" max="3333"/>
    <col width="22.33" customWidth="1" style="149" min="3334" max="3334"/>
    <col width="9.16" customWidth="1" style="149" min="3335" max="3335"/>
    <col width="7.83" customWidth="1" style="149" min="3336" max="3336"/>
    <col hidden="1" width="13" customWidth="1" style="149" min="3337" max="3340"/>
    <col width="9.16" customWidth="1" style="149" min="3341" max="3585"/>
    <col width="15.51" customWidth="1" style="149" min="3586" max="3586"/>
    <col width="16.67" customWidth="1" style="149" min="3587" max="3588"/>
    <col width="19.16" customWidth="1" style="149" min="3589" max="3589"/>
    <col width="22.33" customWidth="1" style="149" min="3590" max="3590"/>
    <col width="9.16" customWidth="1" style="149" min="3591" max="3591"/>
    <col width="7.83" customWidth="1" style="149" min="3592" max="3592"/>
    <col hidden="1" width="13" customWidth="1" style="149" min="3593" max="3596"/>
    <col width="9.16" customWidth="1" style="149" min="3597" max="3841"/>
    <col width="15.51" customWidth="1" style="149" min="3842" max="3842"/>
    <col width="16.67" customWidth="1" style="149" min="3843" max="3844"/>
    <col width="19.16" customWidth="1" style="149" min="3845" max="3845"/>
    <col width="22.33" customWidth="1" style="149" min="3846" max="3846"/>
    <col width="9.16" customWidth="1" style="149" min="3847" max="3847"/>
    <col width="7.83" customWidth="1" style="149" min="3848" max="3848"/>
    <col hidden="1" width="13" customWidth="1" style="149" min="3849" max="3852"/>
    <col width="9.16" customWidth="1" style="149" min="3853" max="4097"/>
    <col width="15.51" customWidth="1" style="149" min="4098" max="4098"/>
    <col width="16.67" customWidth="1" style="149" min="4099" max="4100"/>
    <col width="19.16" customWidth="1" style="149" min="4101" max="4101"/>
    <col width="22.33" customWidth="1" style="149" min="4102" max="4102"/>
    <col width="9.16" customWidth="1" style="149" min="4103" max="4103"/>
    <col width="7.83" customWidth="1" style="149" min="4104" max="4104"/>
    <col hidden="1" width="13" customWidth="1" style="149" min="4105" max="4108"/>
    <col width="9.16" customWidth="1" style="149" min="4109" max="4353"/>
    <col width="15.51" customWidth="1" style="149" min="4354" max="4354"/>
    <col width="16.67" customWidth="1" style="149" min="4355" max="4356"/>
    <col width="19.16" customWidth="1" style="149" min="4357" max="4357"/>
    <col width="22.33" customWidth="1" style="149" min="4358" max="4358"/>
    <col width="9.16" customWidth="1" style="149" min="4359" max="4359"/>
    <col width="7.83" customWidth="1" style="149" min="4360" max="4360"/>
    <col hidden="1" width="13" customWidth="1" style="149" min="4361" max="4364"/>
    <col width="9.16" customWidth="1" style="149" min="4365" max="4609"/>
    <col width="15.51" customWidth="1" style="149" min="4610" max="4610"/>
    <col width="16.67" customWidth="1" style="149" min="4611" max="4612"/>
    <col width="19.16" customWidth="1" style="149" min="4613" max="4613"/>
    <col width="22.33" customWidth="1" style="149" min="4614" max="4614"/>
    <col width="9.16" customWidth="1" style="149" min="4615" max="4615"/>
    <col width="7.83" customWidth="1" style="149" min="4616" max="4616"/>
    <col hidden="1" width="13" customWidth="1" style="149" min="4617" max="4620"/>
    <col width="9.16" customWidth="1" style="149" min="4621" max="4865"/>
    <col width="15.51" customWidth="1" style="149" min="4866" max="4866"/>
    <col width="16.67" customWidth="1" style="149" min="4867" max="4868"/>
    <col width="19.16" customWidth="1" style="149" min="4869" max="4869"/>
    <col width="22.33" customWidth="1" style="149" min="4870" max="4870"/>
    <col width="9.16" customWidth="1" style="149" min="4871" max="4871"/>
    <col width="7.83" customWidth="1" style="149" min="4872" max="4872"/>
    <col hidden="1" width="13" customWidth="1" style="149" min="4873" max="4876"/>
    <col width="9.16" customWidth="1" style="149" min="4877" max="5121"/>
    <col width="15.51" customWidth="1" style="149" min="5122" max="5122"/>
    <col width="16.67" customWidth="1" style="149" min="5123" max="5124"/>
    <col width="19.16" customWidth="1" style="149" min="5125" max="5125"/>
    <col width="22.33" customWidth="1" style="149" min="5126" max="5126"/>
    <col width="9.16" customWidth="1" style="149" min="5127" max="5127"/>
    <col width="7.83" customWidth="1" style="149" min="5128" max="5128"/>
    <col hidden="1" width="13" customWidth="1" style="149" min="5129" max="5132"/>
    <col width="9.16" customWidth="1" style="149" min="5133" max="5377"/>
    <col width="15.51" customWidth="1" style="149" min="5378" max="5378"/>
    <col width="16.67" customWidth="1" style="149" min="5379" max="5380"/>
    <col width="19.16" customWidth="1" style="149" min="5381" max="5381"/>
    <col width="22.33" customWidth="1" style="149" min="5382" max="5382"/>
    <col width="9.16" customWidth="1" style="149" min="5383" max="5383"/>
    <col width="7.83" customWidth="1" style="149" min="5384" max="5384"/>
    <col hidden="1" width="13" customWidth="1" style="149" min="5385" max="5388"/>
    <col width="9.16" customWidth="1" style="149" min="5389" max="5633"/>
    <col width="15.51" customWidth="1" style="149" min="5634" max="5634"/>
    <col width="16.67" customWidth="1" style="149" min="5635" max="5636"/>
    <col width="19.16" customWidth="1" style="149" min="5637" max="5637"/>
    <col width="22.33" customWidth="1" style="149" min="5638" max="5638"/>
    <col width="9.16" customWidth="1" style="149" min="5639" max="5639"/>
    <col width="7.83" customWidth="1" style="149" min="5640" max="5640"/>
    <col hidden="1" width="13" customWidth="1" style="149" min="5641" max="5644"/>
    <col width="9.16" customWidth="1" style="149" min="5645" max="5889"/>
    <col width="15.51" customWidth="1" style="149" min="5890" max="5890"/>
    <col width="16.67" customWidth="1" style="149" min="5891" max="5892"/>
    <col width="19.16" customWidth="1" style="149" min="5893" max="5893"/>
    <col width="22.33" customWidth="1" style="149" min="5894" max="5894"/>
    <col width="9.16" customWidth="1" style="149" min="5895" max="5895"/>
    <col width="7.83" customWidth="1" style="149" min="5896" max="5896"/>
    <col hidden="1" width="13" customWidth="1" style="149" min="5897" max="5900"/>
    <col width="9.16" customWidth="1" style="149" min="5901" max="6145"/>
    <col width="15.51" customWidth="1" style="149" min="6146" max="6146"/>
    <col width="16.67" customWidth="1" style="149" min="6147" max="6148"/>
    <col width="19.16" customWidth="1" style="149" min="6149" max="6149"/>
    <col width="22.33" customWidth="1" style="149" min="6150" max="6150"/>
    <col width="9.16" customWidth="1" style="149" min="6151" max="6151"/>
    <col width="7.83" customWidth="1" style="149" min="6152" max="6152"/>
    <col hidden="1" width="13" customWidth="1" style="149" min="6153" max="6156"/>
    <col width="9.16" customWidth="1" style="149" min="6157" max="6401"/>
    <col width="15.51" customWidth="1" style="149" min="6402" max="6402"/>
    <col width="16.67" customWidth="1" style="149" min="6403" max="6404"/>
    <col width="19.16" customWidth="1" style="149" min="6405" max="6405"/>
    <col width="22.33" customWidth="1" style="149" min="6406" max="6406"/>
    <col width="9.16" customWidth="1" style="149" min="6407" max="6407"/>
    <col width="7.83" customWidth="1" style="149" min="6408" max="6408"/>
    <col hidden="1" width="13" customWidth="1" style="149" min="6409" max="6412"/>
    <col width="9.16" customWidth="1" style="149" min="6413" max="6657"/>
    <col width="15.51" customWidth="1" style="149" min="6658" max="6658"/>
    <col width="16.67" customWidth="1" style="149" min="6659" max="6660"/>
    <col width="19.16" customWidth="1" style="149" min="6661" max="6661"/>
    <col width="22.33" customWidth="1" style="149" min="6662" max="6662"/>
    <col width="9.16" customWidth="1" style="149" min="6663" max="6663"/>
    <col width="7.83" customWidth="1" style="149" min="6664" max="6664"/>
    <col hidden="1" width="13" customWidth="1" style="149" min="6665" max="6668"/>
    <col width="9.16" customWidth="1" style="149" min="6669" max="6913"/>
    <col width="15.51" customWidth="1" style="149" min="6914" max="6914"/>
    <col width="16.67" customWidth="1" style="149" min="6915" max="6916"/>
    <col width="19.16" customWidth="1" style="149" min="6917" max="6917"/>
    <col width="22.33" customWidth="1" style="149" min="6918" max="6918"/>
    <col width="9.16" customWidth="1" style="149" min="6919" max="6919"/>
    <col width="7.83" customWidth="1" style="149" min="6920" max="6920"/>
    <col hidden="1" width="13" customWidth="1" style="149" min="6921" max="6924"/>
    <col width="9.16" customWidth="1" style="149" min="6925" max="7169"/>
    <col width="15.51" customWidth="1" style="149" min="7170" max="7170"/>
    <col width="16.67" customWidth="1" style="149" min="7171" max="7172"/>
    <col width="19.16" customWidth="1" style="149" min="7173" max="7173"/>
    <col width="22.33" customWidth="1" style="149" min="7174" max="7174"/>
    <col width="9.16" customWidth="1" style="149" min="7175" max="7175"/>
    <col width="7.83" customWidth="1" style="149" min="7176" max="7176"/>
    <col hidden="1" width="13" customWidth="1" style="149" min="7177" max="7180"/>
    <col width="9.16" customWidth="1" style="149" min="7181" max="7425"/>
    <col width="15.51" customWidth="1" style="149" min="7426" max="7426"/>
    <col width="16.67" customWidth="1" style="149" min="7427" max="7428"/>
    <col width="19.16" customWidth="1" style="149" min="7429" max="7429"/>
    <col width="22.33" customWidth="1" style="149" min="7430" max="7430"/>
    <col width="9.16" customWidth="1" style="149" min="7431" max="7431"/>
    <col width="7.83" customWidth="1" style="149" min="7432" max="7432"/>
    <col hidden="1" width="13" customWidth="1" style="149" min="7433" max="7436"/>
    <col width="9.16" customWidth="1" style="149" min="7437" max="7681"/>
    <col width="15.51" customWidth="1" style="149" min="7682" max="7682"/>
    <col width="16.67" customWidth="1" style="149" min="7683" max="7684"/>
    <col width="19.16" customWidth="1" style="149" min="7685" max="7685"/>
    <col width="22.33" customWidth="1" style="149" min="7686" max="7686"/>
    <col width="9.16" customWidth="1" style="149" min="7687" max="7687"/>
    <col width="7.83" customWidth="1" style="149" min="7688" max="7688"/>
    <col hidden="1" width="13" customWidth="1" style="149" min="7689" max="7692"/>
    <col width="9.16" customWidth="1" style="149" min="7693" max="7937"/>
    <col width="15.51" customWidth="1" style="149" min="7938" max="7938"/>
    <col width="16.67" customWidth="1" style="149" min="7939" max="7940"/>
    <col width="19.16" customWidth="1" style="149" min="7941" max="7941"/>
    <col width="22.33" customWidth="1" style="149" min="7942" max="7942"/>
    <col width="9.16" customWidth="1" style="149" min="7943" max="7943"/>
    <col width="7.83" customWidth="1" style="149" min="7944" max="7944"/>
    <col hidden="1" width="13" customWidth="1" style="149" min="7945" max="7948"/>
    <col width="9.16" customWidth="1" style="149" min="7949" max="8193"/>
    <col width="15.51" customWidth="1" style="149" min="8194" max="8194"/>
    <col width="16.67" customWidth="1" style="149" min="8195" max="8196"/>
    <col width="19.16" customWidth="1" style="149" min="8197" max="8197"/>
    <col width="22.33" customWidth="1" style="149" min="8198" max="8198"/>
    <col width="9.16" customWidth="1" style="149" min="8199" max="8199"/>
    <col width="7.83" customWidth="1" style="149" min="8200" max="8200"/>
    <col hidden="1" width="13" customWidth="1" style="149" min="8201" max="8204"/>
    <col width="9.16" customWidth="1" style="149" min="8205" max="8449"/>
    <col width="15.51" customWidth="1" style="149" min="8450" max="8450"/>
    <col width="16.67" customWidth="1" style="149" min="8451" max="8452"/>
    <col width="19.16" customWidth="1" style="149" min="8453" max="8453"/>
    <col width="22.33" customWidth="1" style="149" min="8454" max="8454"/>
    <col width="9.16" customWidth="1" style="149" min="8455" max="8455"/>
    <col width="7.83" customWidth="1" style="149" min="8456" max="8456"/>
    <col hidden="1" width="13" customWidth="1" style="149" min="8457" max="8460"/>
    <col width="9.16" customWidth="1" style="149" min="8461" max="8705"/>
    <col width="15.51" customWidth="1" style="149" min="8706" max="8706"/>
    <col width="16.67" customWidth="1" style="149" min="8707" max="8708"/>
    <col width="19.16" customWidth="1" style="149" min="8709" max="8709"/>
    <col width="22.33" customWidth="1" style="149" min="8710" max="8710"/>
    <col width="9.16" customWidth="1" style="149" min="8711" max="8711"/>
    <col width="7.83" customWidth="1" style="149" min="8712" max="8712"/>
    <col hidden="1" width="13" customWidth="1" style="149" min="8713" max="8716"/>
    <col width="9.16" customWidth="1" style="149" min="8717" max="8961"/>
    <col width="15.51" customWidth="1" style="149" min="8962" max="8962"/>
    <col width="16.67" customWidth="1" style="149" min="8963" max="8964"/>
    <col width="19.16" customWidth="1" style="149" min="8965" max="8965"/>
    <col width="22.33" customWidth="1" style="149" min="8966" max="8966"/>
    <col width="9.16" customWidth="1" style="149" min="8967" max="8967"/>
    <col width="7.83" customWidth="1" style="149" min="8968" max="8968"/>
    <col hidden="1" width="13" customWidth="1" style="149" min="8969" max="8972"/>
    <col width="9.16" customWidth="1" style="149" min="8973" max="9217"/>
    <col width="15.51" customWidth="1" style="149" min="9218" max="9218"/>
    <col width="16.67" customWidth="1" style="149" min="9219" max="9220"/>
    <col width="19.16" customWidth="1" style="149" min="9221" max="9221"/>
    <col width="22.33" customWidth="1" style="149" min="9222" max="9222"/>
    <col width="9.16" customWidth="1" style="149" min="9223" max="9223"/>
    <col width="7.83" customWidth="1" style="149" min="9224" max="9224"/>
    <col hidden="1" width="13" customWidth="1" style="149" min="9225" max="9228"/>
    <col width="9.16" customWidth="1" style="149" min="9229" max="9473"/>
    <col width="15.51" customWidth="1" style="149" min="9474" max="9474"/>
    <col width="16.67" customWidth="1" style="149" min="9475" max="9476"/>
    <col width="19.16" customWidth="1" style="149" min="9477" max="9477"/>
    <col width="22.33" customWidth="1" style="149" min="9478" max="9478"/>
    <col width="9.16" customWidth="1" style="149" min="9479" max="9479"/>
    <col width="7.83" customWidth="1" style="149" min="9480" max="9480"/>
    <col hidden="1" width="13" customWidth="1" style="149" min="9481" max="9484"/>
    <col width="9.16" customWidth="1" style="149" min="9485" max="9729"/>
    <col width="15.51" customWidth="1" style="149" min="9730" max="9730"/>
    <col width="16.67" customWidth="1" style="149" min="9731" max="9732"/>
    <col width="19.16" customWidth="1" style="149" min="9733" max="9733"/>
    <col width="22.33" customWidth="1" style="149" min="9734" max="9734"/>
    <col width="9.16" customWidth="1" style="149" min="9735" max="9735"/>
    <col width="7.83" customWidth="1" style="149" min="9736" max="9736"/>
    <col hidden="1" width="13" customWidth="1" style="149" min="9737" max="9740"/>
    <col width="9.16" customWidth="1" style="149" min="9741" max="9985"/>
    <col width="15.51" customWidth="1" style="149" min="9986" max="9986"/>
    <col width="16.67" customWidth="1" style="149" min="9987" max="9988"/>
    <col width="19.16" customWidth="1" style="149" min="9989" max="9989"/>
    <col width="22.33" customWidth="1" style="149" min="9990" max="9990"/>
    <col width="9.16" customWidth="1" style="149" min="9991" max="9991"/>
    <col width="7.83" customWidth="1" style="149" min="9992" max="9992"/>
    <col hidden="1" width="13" customWidth="1" style="149" min="9993" max="9996"/>
    <col width="9.16" customWidth="1" style="149" min="9997" max="10241"/>
    <col width="15.51" customWidth="1" style="149" min="10242" max="10242"/>
    <col width="16.67" customWidth="1" style="149" min="10243" max="10244"/>
    <col width="19.16" customWidth="1" style="149" min="10245" max="10245"/>
    <col width="22.33" customWidth="1" style="149" min="10246" max="10246"/>
    <col width="9.16" customWidth="1" style="149" min="10247" max="10247"/>
    <col width="7.83" customWidth="1" style="149" min="10248" max="10248"/>
    <col hidden="1" width="13" customWidth="1" style="149" min="10249" max="10252"/>
    <col width="9.16" customWidth="1" style="149" min="10253" max="10497"/>
    <col width="15.51" customWidth="1" style="149" min="10498" max="10498"/>
    <col width="16.67" customWidth="1" style="149" min="10499" max="10500"/>
    <col width="19.16" customWidth="1" style="149" min="10501" max="10501"/>
    <col width="22.33" customWidth="1" style="149" min="10502" max="10502"/>
    <col width="9.16" customWidth="1" style="149" min="10503" max="10503"/>
    <col width="7.83" customWidth="1" style="149" min="10504" max="10504"/>
    <col hidden="1" width="13" customWidth="1" style="149" min="10505" max="10508"/>
    <col width="9.16" customWidth="1" style="149" min="10509" max="10753"/>
    <col width="15.51" customWidth="1" style="149" min="10754" max="10754"/>
    <col width="16.67" customWidth="1" style="149" min="10755" max="10756"/>
    <col width="19.16" customWidth="1" style="149" min="10757" max="10757"/>
    <col width="22.33" customWidth="1" style="149" min="10758" max="10758"/>
    <col width="9.16" customWidth="1" style="149" min="10759" max="10759"/>
    <col width="7.83" customWidth="1" style="149" min="10760" max="10760"/>
    <col hidden="1" width="13" customWidth="1" style="149" min="10761" max="10764"/>
    <col width="9.16" customWidth="1" style="149" min="10765" max="11009"/>
    <col width="15.51" customWidth="1" style="149" min="11010" max="11010"/>
    <col width="16.67" customWidth="1" style="149" min="11011" max="11012"/>
    <col width="19.16" customWidth="1" style="149" min="11013" max="11013"/>
    <col width="22.33" customWidth="1" style="149" min="11014" max="11014"/>
    <col width="9.16" customWidth="1" style="149" min="11015" max="11015"/>
    <col width="7.83" customWidth="1" style="149" min="11016" max="11016"/>
    <col hidden="1" width="13" customWidth="1" style="149" min="11017" max="11020"/>
    <col width="9.16" customWidth="1" style="149" min="11021" max="11265"/>
    <col width="15.51" customWidth="1" style="149" min="11266" max="11266"/>
    <col width="16.67" customWidth="1" style="149" min="11267" max="11268"/>
    <col width="19.16" customWidth="1" style="149" min="11269" max="11269"/>
    <col width="22.33" customWidth="1" style="149" min="11270" max="11270"/>
    <col width="9.16" customWidth="1" style="149" min="11271" max="11271"/>
    <col width="7.83" customWidth="1" style="149" min="11272" max="11272"/>
    <col hidden="1" width="13" customWidth="1" style="149" min="11273" max="11276"/>
    <col width="9.16" customWidth="1" style="149" min="11277" max="11521"/>
    <col width="15.51" customWidth="1" style="149" min="11522" max="11522"/>
    <col width="16.67" customWidth="1" style="149" min="11523" max="11524"/>
    <col width="19.16" customWidth="1" style="149" min="11525" max="11525"/>
    <col width="22.33" customWidth="1" style="149" min="11526" max="11526"/>
    <col width="9.16" customWidth="1" style="149" min="11527" max="11527"/>
    <col width="7.83" customWidth="1" style="149" min="11528" max="11528"/>
    <col hidden="1" width="13" customWidth="1" style="149" min="11529" max="11532"/>
    <col width="9.16" customWidth="1" style="149" min="11533" max="11777"/>
    <col width="15.51" customWidth="1" style="149" min="11778" max="11778"/>
    <col width="16.67" customWidth="1" style="149" min="11779" max="11780"/>
    <col width="19.16" customWidth="1" style="149" min="11781" max="11781"/>
    <col width="22.33" customWidth="1" style="149" min="11782" max="11782"/>
    <col width="9.16" customWidth="1" style="149" min="11783" max="11783"/>
    <col width="7.83" customWidth="1" style="149" min="11784" max="11784"/>
    <col hidden="1" width="13" customWidth="1" style="149" min="11785" max="11788"/>
    <col width="9.16" customWidth="1" style="149" min="11789" max="12033"/>
    <col width="15.51" customWidth="1" style="149" min="12034" max="12034"/>
    <col width="16.67" customWidth="1" style="149" min="12035" max="12036"/>
    <col width="19.16" customWidth="1" style="149" min="12037" max="12037"/>
    <col width="22.33" customWidth="1" style="149" min="12038" max="12038"/>
    <col width="9.16" customWidth="1" style="149" min="12039" max="12039"/>
    <col width="7.83" customWidth="1" style="149" min="12040" max="12040"/>
    <col hidden="1" width="13" customWidth="1" style="149" min="12041" max="12044"/>
    <col width="9.16" customWidth="1" style="149" min="12045" max="12289"/>
    <col width="15.51" customWidth="1" style="149" min="12290" max="12290"/>
    <col width="16.67" customWidth="1" style="149" min="12291" max="12292"/>
    <col width="19.16" customWidth="1" style="149" min="12293" max="12293"/>
    <col width="22.33" customWidth="1" style="149" min="12294" max="12294"/>
    <col width="9.16" customWidth="1" style="149" min="12295" max="12295"/>
    <col width="7.83" customWidth="1" style="149" min="12296" max="12296"/>
    <col hidden="1" width="13" customWidth="1" style="149" min="12297" max="12300"/>
    <col width="9.16" customWidth="1" style="149" min="12301" max="12545"/>
    <col width="15.51" customWidth="1" style="149" min="12546" max="12546"/>
    <col width="16.67" customWidth="1" style="149" min="12547" max="12548"/>
    <col width="19.16" customWidth="1" style="149" min="12549" max="12549"/>
    <col width="22.33" customWidth="1" style="149" min="12550" max="12550"/>
    <col width="9.16" customWidth="1" style="149" min="12551" max="12551"/>
    <col width="7.83" customWidth="1" style="149" min="12552" max="12552"/>
    <col hidden="1" width="13" customWidth="1" style="149" min="12553" max="12556"/>
    <col width="9.16" customWidth="1" style="149" min="12557" max="12801"/>
    <col width="15.51" customWidth="1" style="149" min="12802" max="12802"/>
    <col width="16.67" customWidth="1" style="149" min="12803" max="12804"/>
    <col width="19.16" customWidth="1" style="149" min="12805" max="12805"/>
    <col width="22.33" customWidth="1" style="149" min="12806" max="12806"/>
    <col width="9.16" customWidth="1" style="149" min="12807" max="12807"/>
    <col width="7.83" customWidth="1" style="149" min="12808" max="12808"/>
    <col hidden="1" width="13" customWidth="1" style="149" min="12809" max="12812"/>
    <col width="9.16" customWidth="1" style="149" min="12813" max="13057"/>
    <col width="15.51" customWidth="1" style="149" min="13058" max="13058"/>
    <col width="16.67" customWidth="1" style="149" min="13059" max="13060"/>
    <col width="19.16" customWidth="1" style="149" min="13061" max="13061"/>
    <col width="22.33" customWidth="1" style="149" min="13062" max="13062"/>
    <col width="9.16" customWidth="1" style="149" min="13063" max="13063"/>
    <col width="7.83" customWidth="1" style="149" min="13064" max="13064"/>
    <col hidden="1" width="13" customWidth="1" style="149" min="13065" max="13068"/>
    <col width="9.16" customWidth="1" style="149" min="13069" max="13313"/>
    <col width="15.51" customWidth="1" style="149" min="13314" max="13314"/>
    <col width="16.67" customWidth="1" style="149" min="13315" max="13316"/>
    <col width="19.16" customWidth="1" style="149" min="13317" max="13317"/>
    <col width="22.33" customWidth="1" style="149" min="13318" max="13318"/>
    <col width="9.16" customWidth="1" style="149" min="13319" max="13319"/>
    <col width="7.83" customWidth="1" style="149" min="13320" max="13320"/>
    <col hidden="1" width="13" customWidth="1" style="149" min="13321" max="13324"/>
    <col width="9.16" customWidth="1" style="149" min="13325" max="13569"/>
    <col width="15.51" customWidth="1" style="149" min="13570" max="13570"/>
    <col width="16.67" customWidth="1" style="149" min="13571" max="13572"/>
    <col width="19.16" customWidth="1" style="149" min="13573" max="13573"/>
    <col width="22.33" customWidth="1" style="149" min="13574" max="13574"/>
    <col width="9.16" customWidth="1" style="149" min="13575" max="13575"/>
    <col width="7.83" customWidth="1" style="149" min="13576" max="13576"/>
    <col hidden="1" width="13" customWidth="1" style="149" min="13577" max="13580"/>
    <col width="9.16" customWidth="1" style="149" min="13581" max="13825"/>
    <col width="15.51" customWidth="1" style="149" min="13826" max="13826"/>
    <col width="16.67" customWidth="1" style="149" min="13827" max="13828"/>
    <col width="19.16" customWidth="1" style="149" min="13829" max="13829"/>
    <col width="22.33" customWidth="1" style="149" min="13830" max="13830"/>
    <col width="9.16" customWidth="1" style="149" min="13831" max="13831"/>
    <col width="7.83" customWidth="1" style="149" min="13832" max="13832"/>
    <col hidden="1" width="13" customWidth="1" style="149" min="13833" max="13836"/>
    <col width="9.16" customWidth="1" style="149" min="13837" max="14081"/>
    <col width="15.51" customWidth="1" style="149" min="14082" max="14082"/>
    <col width="16.67" customWidth="1" style="149" min="14083" max="14084"/>
    <col width="19.16" customWidth="1" style="149" min="14085" max="14085"/>
    <col width="22.33" customWidth="1" style="149" min="14086" max="14086"/>
    <col width="9.16" customWidth="1" style="149" min="14087" max="14087"/>
    <col width="7.83" customWidth="1" style="149" min="14088" max="14088"/>
    <col hidden="1" width="13" customWidth="1" style="149" min="14089" max="14092"/>
    <col width="9.16" customWidth="1" style="149" min="14093" max="14337"/>
    <col width="15.51" customWidth="1" style="149" min="14338" max="14338"/>
    <col width="16.67" customWidth="1" style="149" min="14339" max="14340"/>
    <col width="19.16" customWidth="1" style="149" min="14341" max="14341"/>
    <col width="22.33" customWidth="1" style="149" min="14342" max="14342"/>
    <col width="9.16" customWidth="1" style="149" min="14343" max="14343"/>
    <col width="7.83" customWidth="1" style="149" min="14344" max="14344"/>
    <col hidden="1" width="13" customWidth="1" style="149" min="14345" max="14348"/>
    <col width="9.16" customWidth="1" style="149" min="14349" max="14593"/>
    <col width="15.51" customWidth="1" style="149" min="14594" max="14594"/>
    <col width="16.67" customWidth="1" style="149" min="14595" max="14596"/>
    <col width="19.16" customWidth="1" style="149" min="14597" max="14597"/>
    <col width="22.33" customWidth="1" style="149" min="14598" max="14598"/>
    <col width="9.16" customWidth="1" style="149" min="14599" max="14599"/>
    <col width="7.83" customWidth="1" style="149" min="14600" max="14600"/>
    <col hidden="1" width="13" customWidth="1" style="149" min="14601" max="14604"/>
    <col width="9.16" customWidth="1" style="149" min="14605" max="14849"/>
    <col width="15.51" customWidth="1" style="149" min="14850" max="14850"/>
    <col width="16.67" customWidth="1" style="149" min="14851" max="14852"/>
    <col width="19.16" customWidth="1" style="149" min="14853" max="14853"/>
    <col width="22.33" customWidth="1" style="149" min="14854" max="14854"/>
    <col width="9.16" customWidth="1" style="149" min="14855" max="14855"/>
    <col width="7.83" customWidth="1" style="149" min="14856" max="14856"/>
    <col hidden="1" width="13" customWidth="1" style="149" min="14857" max="14860"/>
    <col width="9.16" customWidth="1" style="149" min="14861" max="15105"/>
    <col width="15.51" customWidth="1" style="149" min="15106" max="15106"/>
    <col width="16.67" customWidth="1" style="149" min="15107" max="15108"/>
    <col width="19.16" customWidth="1" style="149" min="15109" max="15109"/>
    <col width="22.33" customWidth="1" style="149" min="15110" max="15110"/>
    <col width="9.16" customWidth="1" style="149" min="15111" max="15111"/>
    <col width="7.83" customWidth="1" style="149" min="15112" max="15112"/>
    <col hidden="1" width="13" customWidth="1" style="149" min="15113" max="15116"/>
    <col width="9.16" customWidth="1" style="149" min="15117" max="15361"/>
    <col width="15.51" customWidth="1" style="149" min="15362" max="15362"/>
    <col width="16.67" customWidth="1" style="149" min="15363" max="15364"/>
    <col width="19.16" customWidth="1" style="149" min="15365" max="15365"/>
    <col width="22.33" customWidth="1" style="149" min="15366" max="15366"/>
    <col width="9.16" customWidth="1" style="149" min="15367" max="15367"/>
    <col width="7.83" customWidth="1" style="149" min="15368" max="15368"/>
    <col hidden="1" width="13" customWidth="1" style="149" min="15369" max="15372"/>
    <col width="9.16" customWidth="1" style="149" min="15373" max="15617"/>
    <col width="15.51" customWidth="1" style="149" min="15618" max="15618"/>
    <col width="16.67" customWidth="1" style="149" min="15619" max="15620"/>
    <col width="19.16" customWidth="1" style="149" min="15621" max="15621"/>
    <col width="22.33" customWidth="1" style="149" min="15622" max="15622"/>
    <col width="9.16" customWidth="1" style="149" min="15623" max="15623"/>
    <col width="7.83" customWidth="1" style="149" min="15624" max="15624"/>
    <col hidden="1" width="13" customWidth="1" style="149" min="15625" max="15628"/>
    <col width="9.16" customWidth="1" style="149" min="15629" max="15873"/>
    <col width="15.51" customWidth="1" style="149" min="15874" max="15874"/>
    <col width="16.67" customWidth="1" style="149" min="15875" max="15876"/>
    <col width="19.16" customWidth="1" style="149" min="15877" max="15877"/>
    <col width="22.33" customWidth="1" style="149" min="15878" max="15878"/>
    <col width="9.16" customWidth="1" style="149" min="15879" max="15879"/>
    <col width="7.83" customWidth="1" style="149" min="15880" max="15880"/>
    <col hidden="1" width="13" customWidth="1" style="149" min="15881" max="15884"/>
    <col width="9.16" customWidth="1" style="149" min="15885" max="16129"/>
    <col width="15.51" customWidth="1" style="149" min="16130" max="16130"/>
    <col width="16.67" customWidth="1" style="149" min="16131" max="16132"/>
    <col width="19.16" customWidth="1" style="149" min="16133" max="16133"/>
    <col width="22.33" customWidth="1" style="149" min="16134" max="16134"/>
    <col width="9.16" customWidth="1" style="149" min="16135" max="16135"/>
    <col width="7.83" customWidth="1" style="149" min="16136" max="16136"/>
    <col hidden="1" width="13" customWidth="1" style="149" min="16137" max="16140"/>
    <col width="9.16" customWidth="1" style="149" min="16141" max="16384"/>
  </cols>
  <sheetData>
    <row r="1" ht="15.75" customHeight="1" s="89">
      <c r="A1" s="150" t="n"/>
      <c r="B1" s="150" t="n"/>
      <c r="C1" s="150" t="n"/>
      <c r="D1" s="150" t="n"/>
      <c r="E1" s="150" t="n"/>
      <c r="F1" s="150" t="n"/>
      <c r="G1" s="150" t="n"/>
      <c r="H1" s="150" t="n"/>
      <c r="I1" s="150" t="n"/>
      <c r="J1" s="150" t="n"/>
    </row>
    <row r="2" ht="24" customHeight="1" s="89">
      <c r="A2" s="151">
        <f>VLOOKUP(E2,'Patient Information'!1:65535,2)&amp;", "&amp;VLOOKUP(E2,'Patient Information'!1:65535,3)</f>
        <v/>
      </c>
      <c r="B2" s="152" t="n"/>
      <c r="C2" s="152" t="n"/>
      <c r="D2" s="153" t="inlineStr">
        <is>
          <t>MRN:</t>
        </is>
      </c>
      <c r="E2" s="154">
        <f>'Patient Information'!A10</f>
        <v/>
      </c>
      <c r="F2" s="152" t="n"/>
      <c r="G2" s="150" t="n"/>
      <c r="H2" s="150" t="n"/>
    </row>
    <row r="3" ht="19.5" customHeight="1" s="89">
      <c r="A3" s="155">
        <f>"Perioperative Anticoagulation Plan for "&amp;VLOOKUP(E2,'Patient Information'!1:65535,8)&amp;" on "&amp;MONTH(VLOOKUP(E2,'Patient Information'!1:65535,5))&amp;"/"&amp;DAY(VLOOKUP(E2,'Patient Information'!1:65535,5))&amp;"/"&amp;YEAR(VLOOKUP(E2,'Patient Information'!1:65535,5))</f>
        <v/>
      </c>
      <c r="G3" s="150" t="n"/>
      <c r="H3" s="150" t="n"/>
    </row>
    <row r="4" ht="18" customHeight="1" s="89">
      <c r="A4" s="156" t="n"/>
      <c r="B4" s="156" t="n"/>
      <c r="C4" s="156" t="n"/>
      <c r="D4" s="156" t="n"/>
      <c r="E4" s="156" t="n"/>
      <c r="F4" s="156" t="n"/>
    </row>
    <row r="5" ht="18" customHeight="1" s="89">
      <c r="A5" s="157" t="inlineStr">
        <is>
          <t>Date</t>
        </is>
      </c>
      <c r="B5" s="157" t="inlineStr">
        <is>
          <t>Day</t>
        </is>
      </c>
      <c r="C5" s="158" t="inlineStr">
        <is>
          <t>Lovenox</t>
        </is>
      </c>
      <c r="D5" s="117" t="n"/>
      <c r="E5" s="158" t="inlineStr">
        <is>
          <t>Warfarin</t>
        </is>
      </c>
      <c r="F5" s="158" t="inlineStr">
        <is>
          <t>Lab</t>
        </is>
      </c>
    </row>
    <row r="6" ht="15.75" customHeight="1" s="89">
      <c r="A6" s="159" t="n"/>
      <c r="B6" s="159" t="n"/>
      <c r="C6" s="160" t="inlineStr">
        <is>
          <t>AM</t>
        </is>
      </c>
      <c r="D6" s="160" t="inlineStr">
        <is>
          <t>PM</t>
        </is>
      </c>
      <c r="E6" s="161" t="n"/>
      <c r="F6" s="161" t="n"/>
    </row>
    <row r="7" ht="15.75" customHeight="1" s="89">
      <c r="A7" s="162">
        <f>IF(ISNA(References!$I$3)=TRUE(),"",VLOOKUP($E$2,'Patient Information'!1:65535,4))</f>
        <v/>
      </c>
      <c r="B7" s="163">
        <f>TEXT(RIGHT(A7,9), "dddd")</f>
        <v/>
      </c>
      <c r="C7" s="164" t="inlineStr">
        <is>
          <t>None</t>
        </is>
      </c>
      <c r="D7" s="164" t="inlineStr">
        <is>
          <t>None</t>
        </is>
      </c>
      <c r="E7" s="164" t="inlineStr">
        <is>
          <t>None</t>
        </is>
      </c>
      <c r="F7" s="164">
        <f>IF(A7=References!I4=TRUE(),"INR + CBC at "&amp;VLOOKUP(E2,'Patient Information'!1:65535,7),"")</f>
        <v/>
      </c>
    </row>
    <row r="8" ht="15.75" customHeight="1" s="89">
      <c r="A8" s="165">
        <f>IF(ISNA(References!$I$3)=TRUE(),"",IF(References!$I$3=1,"SURGERY "&amp;TEXT(References!$I$2, "m/dd/yyyy"),IF(References!$I$3+References!$I$5&gt;=1,$A$7+1,"")))</f>
        <v/>
      </c>
      <c r="B8" s="166">
        <f>TEXT(RIGHT(A8,9), "dddd")</f>
        <v/>
      </c>
      <c r="C8" s="167">
        <f>IF(References!I3+References!I5&gt;=1,IF(ISTEXT(A8)=TRUE(),"None",IF(References!I2-A8=1,IF(VLOOKUP(E2,'Patient Information'!1:65535,10)="Once",(References!L1/2)&amp;" mg (half-dose)",References!L1&amp;" mg"),References!L1&amp;" mg")),"")</f>
        <v/>
      </c>
      <c r="D8" s="167">
        <f>IF(References!I3+References!I5&gt;=1,IF(ISTEXT(A8)=TRUE(),"None",IF(A8+1=References!I2,"None",IF(VLOOKUP(E2,'Patient Information'!1:65535,10)="Twice",VLOOKUP(E2,'Patient Information'!1:65535,9)&amp;" mg","None"))),"")</f>
        <v/>
      </c>
      <c r="E8" s="167">
        <f>IF(References!I3+References!I5&gt;=1,IF(ISTEXT(A8)=TRUE(),"Previous Dose",IF(References!I3+References!I5=2,"As Directed",IF(References!I2-A8&gt;=1,"None","Previous Dose"))),"")</f>
        <v/>
      </c>
      <c r="F8" s="167">
        <f>IF(A8=References!I4=TRUE(),"INR + CBC at "&amp;VLOOKUP(E2,'Patient Information'!1:65535,7),"")</f>
        <v/>
      </c>
    </row>
    <row r="9" ht="15.75" customHeight="1" s="89">
      <c r="A9" s="162">
        <f>IF(ISNA(References!$I$3)=TRUE(),"",IF(References!$I$3=2,"SURGERY "&amp;TEXT(References!$I$2, "m/dd/yyyy"),IF(References!I3+References!$I$5&gt;=2,$A$7+2,"")))</f>
        <v/>
      </c>
      <c r="B9" s="163">
        <f>TEXT(RIGHT(A9,9), "dddd")</f>
        <v/>
      </c>
      <c r="C9" s="164">
        <f>IF(References!I3+References!I5&gt;=2,IF(ISTEXT(A9)=TRUE(),"None",IF(References!I2-A9=1,IF(VLOOKUP(E2,'Patient Information'!1:65535,10)="Once",(References!L1/2)&amp;" mg (half-dose)",References!L1&amp;" mg"),References!L1&amp;" mg")),"")</f>
        <v/>
      </c>
      <c r="D9" s="164">
        <f>IF(References!I3+References!I5&gt;=2,IF(ISTEXT(A9)=TRUE(),"None",IF(A9+1=References!I2,"None",IF(VLOOKUP(E2,'Patient Information'!1:65535,10)="Twice",VLOOKUP(E2,'Patient Information'!1:65535,9)&amp;" mg","None"))),"")</f>
        <v/>
      </c>
      <c r="E9" s="164">
        <f>IF(References!I3+References!I5&gt;=2,IF(ISTEXT(A9)=TRUE(),"Previous Dose",IF(References!I3+References!I5=3,"As Directed",IF(References!I2-A9&gt;=1,"None","Previous Dose"))),"")</f>
        <v/>
      </c>
      <c r="F9" s="164">
        <f>IF(A9=References!I4=TRUE(),"INR + CBC at "&amp;VLOOKUP(E2,'Patient Information'!1:65535,7),"")</f>
        <v/>
      </c>
    </row>
    <row r="10" ht="15.75" customHeight="1" s="89">
      <c r="A10" s="165">
        <f>IF(ISNA(References!$I$3)=TRUE(),"",IF(References!$I$3=3,"SURGERY "&amp;TEXT(References!I2, "m/dd/yyyy"),IF(References!$I$3+References!$I$5&gt;=3,$A$7+3,"")))</f>
        <v/>
      </c>
      <c r="B10" s="166">
        <f>TEXT(RIGHT(A10,9), "dddd")</f>
        <v/>
      </c>
      <c r="C10" s="167">
        <f>IF(References!I3+References!I5&gt;=3,IF(ISTEXT(A10)=TRUE(),"None",IF(References!I2-A10=1,IF(VLOOKUP(E2,'Patient Information'!1:65535,10)="Once",(References!L1/2)&amp;" mg (half-dose)",References!L1&amp;" mg"),References!L1&amp;" mg")),"")</f>
        <v/>
      </c>
      <c r="D10" s="167">
        <f>IF(References!I3+References!I5&gt;=3,IF(ISTEXT(A10)=TRUE(),"None",IF(A10+1=References!I2,"None",IF(VLOOKUP(E2,'Patient Information'!1:65535,10)="Twice",VLOOKUP(E2,'Patient Information'!1:65535,9)&amp;" mg","None"))),"")</f>
        <v/>
      </c>
      <c r="E10" s="167">
        <f>IF(References!I3+References!I5&gt;=3,IF(ISTEXT(A10)=TRUE(),"Previous Dose",IF(References!I3+References!I5=3,"As Directed",IF(References!I2-A10&gt;=1,"None","Previous Dose"))),"")</f>
        <v/>
      </c>
      <c r="F10" s="167">
        <f>IF(A10=References!I4=TRUE(),"INR + CBC at "&amp;VLOOKUP(E2,'Patient Information'!1:65535,7),"")</f>
        <v/>
      </c>
    </row>
    <row r="11" ht="15.75" customHeight="1" s="89">
      <c r="A11" s="162">
        <f>IF(ISNA(References!I3)=TRUE(),"",IF(References!I3=4,"SURGERY "&amp;TEXT(References!I2, "m/dd/yyyy"),IF(References!I3+References!I5&gt;=4,A7+4,"")))</f>
        <v/>
      </c>
      <c r="B11" s="163">
        <f>TEXT(RIGHT(A11,9), "dddd")</f>
        <v/>
      </c>
      <c r="C11" s="164">
        <f>IF(References!I3+References!I5&gt;=4,IF(ISTEXT(A11)=TRUE(),"None",IF(References!I2-A11=1,IF(VLOOKUP(E2,'Patient Information'!1:65535,10)="Once",(References!L1/2)&amp;" mg (half-dose)",References!L1&amp;" mg"),References!L1&amp;" mg")),"")</f>
        <v/>
      </c>
      <c r="D11" s="164">
        <f>IF(References!I3+References!I5&gt;=4,IF(ISTEXT(A11)=TRUE(),"None",IF(A11+1=References!I2,"None",IF(VLOOKUP(E2,'Patient Information'!1:65535,10)="Twice",VLOOKUP(E2,'Patient Information'!1:65535,9)&amp;" mg","None"))),"")</f>
        <v/>
      </c>
      <c r="E11" s="164">
        <f>IF(References!I3+References!I5&gt;=4,IF(ISTEXT(A11)=TRUE(),"Previous Dose",IF(References!I3+References!I5=4,"As Directed",IF(References!I2-A11&gt;=1,"None","Previous Dose"))),"")</f>
        <v/>
      </c>
      <c r="F11" s="164">
        <f>IF(A11=References!I4=TRUE(),"INR + CBC at "&amp;VLOOKUP(E2,'Patient Information'!1:65535,7),"")</f>
        <v/>
      </c>
    </row>
    <row r="12" ht="15.75" customHeight="1" s="89">
      <c r="A12" s="165">
        <f>IF(ISNA(References!I3)=TRUE(),"",IF(References!I3=5,"SURGERY "&amp;TEXT(References!I2, "m/dd/yyyy"),IF(References!I3+References!I5&gt;=5,A7+5,"")))</f>
        <v/>
      </c>
      <c r="B12" s="166">
        <f>TEXT(RIGHT(A12,9), "dddd")</f>
        <v/>
      </c>
      <c r="C12" s="167">
        <f>IF(References!I3+References!I5&gt;=5,IF(ISTEXT(A12)=TRUE(),"None",IF(References!I2-A12=1,IF(VLOOKUP(E2,'Patient Information'!1:65535,10)="Once",(References!L1/2)&amp;" mg (half-dose)",References!L1&amp;" mg"),References!L1&amp;" mg")),"")</f>
        <v/>
      </c>
      <c r="D12" s="167">
        <f>IF(References!I3+References!I5&gt;=5,IF(ISTEXT(A12)=TRUE(),"None",IF(A12+1=References!I2,"None",IF(VLOOKUP(E2,'Patient Information'!1:65535,10)="Twice",VLOOKUP(E2,'Patient Information'!1:65535,9)&amp;" mg","None"))),"")</f>
        <v/>
      </c>
      <c r="E12" s="167">
        <f>IF(References!I3+References!I5&gt;=5,IF(ISTEXT(A12)=TRUE(),"Previous Dose",IF(References!I3+References!I5=5,"As Directed",IF(References!I2-A12&gt;=1,"None","Previous Dose"))),"")</f>
        <v/>
      </c>
      <c r="F12" s="167">
        <f>IF(A12=References!I4=TRUE(),"INR + CBC at "&amp;VLOOKUP(E2,'Patient Information'!1:65535,7),"")</f>
        <v/>
      </c>
    </row>
    <row r="13" ht="15.75" customHeight="1" s="89">
      <c r="A13" s="162">
        <f>IF(ISNA(References!I3)=TRUE(),"",IF(References!I3=6,"SURGERY "&amp;TEXT(References!I2, "m/dd/yyyy"),IF(References!I3+References!I5&gt;=6,A7+6,"")))</f>
        <v/>
      </c>
      <c r="B13" s="163">
        <f>TEXT(RIGHT(A13,9), "dddd")</f>
        <v/>
      </c>
      <c r="C13" s="164">
        <f>IF(References!I3+References!I5&gt;=6,IF(ISTEXT(A13)=TRUE(),"None",IF(References!I2-A13=1,IF(VLOOKUP(E2,'Patient Information'!1:65535,10)="Once",(References!L1/2)&amp;" mg (half-dose)",References!L1&amp;" mg"),References!L1&amp;" mg")),"")</f>
        <v/>
      </c>
      <c r="D13" s="164">
        <f>IF(References!I3+References!I5&gt;=6,IF(ISTEXT(A13)=TRUE(),"None",IF(A13+1=References!I2,"None",IF(VLOOKUP(E2,'Patient Information'!1:65535,10)="Twice",VLOOKUP(E2,'Patient Information'!1:65535,9)&amp;" mg","None"))),"")</f>
        <v/>
      </c>
      <c r="E13" s="164">
        <f>IF(References!I3+References!I5&gt;=6,IF(ISTEXT(A13)=TRUE(),"Previous Dose",IF(References!I3+References!I5=6,"As Directed",IF(References!I2-A13&gt;=1,"None","Previous Dose"))),"")</f>
        <v/>
      </c>
      <c r="F13" s="164">
        <f>IF(A13=References!I4=TRUE(),"INR + CBC at "&amp;VLOOKUP(E2,'Patient Information'!1:65535,7),"")</f>
        <v/>
      </c>
    </row>
    <row r="14" ht="15.75" customHeight="1" s="89">
      <c r="A14" s="165">
        <f>IF(ISNA(References!I3)=TRUE(),"",IF(References!I3=7,"SURGERY "&amp;TEXT(References!I2, "m/dd/yyyy"),IF(References!I3+References!I5&gt;=7,A7+7,"")))</f>
        <v/>
      </c>
      <c r="B14" s="166">
        <f>TEXT(RIGHT(A14,9), "dddd")</f>
        <v/>
      </c>
      <c r="C14" s="167">
        <f>IF(References!I3+References!I5&gt;=7,IF(ISTEXT(A14)=TRUE(),"None",IF(References!I2-A14=1,IF(VLOOKUP(E2,'Patient Information'!1:65535,10)="Once",(References!L1/2)&amp;" mg (half-dose)",References!L1&amp;" mg"),References!L1&amp;" mg")),"")</f>
        <v/>
      </c>
      <c r="D14" s="167">
        <f>IF(References!I3+References!I5&gt;=7,IF(ISTEXT(A14)=TRUE(),"None",IF(A14+1=References!I2,"None",IF(VLOOKUP(E2,'Patient Information'!1:65535,10)="Twice",VLOOKUP(E2,'Patient Information'!1:65535,9)&amp;" mg","None"))),"")</f>
        <v/>
      </c>
      <c r="E14" s="167">
        <f>IF(References!I3+References!I5&gt;=7,IF(ISTEXT(A14)=TRUE(),"Previous Dose",IF(References!I3+References!I5=7,"As Directed",IF(References!I2-A14&gt;=1,"None","Previous Dose"))),"")</f>
        <v/>
      </c>
      <c r="F14" s="167">
        <f>IF(A14=References!I4=TRUE(),"INR + CBC at "&amp;VLOOKUP(E2,'Patient Information'!1:65535,7),"")</f>
        <v/>
      </c>
    </row>
    <row r="15" ht="15.75" customHeight="1" s="89">
      <c r="A15" s="162">
        <f>IF(ISNA(References!I3)=TRUE(),"",IF(References!I3=8,"SURGERY "&amp;TEXT(References!I2, "m/dd/yyyy"),IF(References!I3+References!I5&gt;=8,A7+8,"")))</f>
        <v/>
      </c>
      <c r="B15" s="163">
        <f>TEXT(RIGHT(A15,9), "dddd")</f>
        <v/>
      </c>
      <c r="C15" s="164">
        <f>IF(References!I3+References!I5&gt;=8,IF(ISTEXT(A15)=TRUE(),"None",IF(References!I2-A15=1,IF(VLOOKUP(E2,'Patient Information'!1:65535,10)="Once",(References!L1/2)&amp;" mg (half-dose)",References!L1&amp;" mg"),References!L1&amp;" mg")),"")</f>
        <v/>
      </c>
      <c r="D15" s="164">
        <f>IF(References!I3+References!I5&gt;=8,IF(ISTEXT(A15)=TRUE(),"None",IF(A15+1=References!I2,"None",IF(VLOOKUP(E2,'Patient Information'!1:65535,10)="Twice",VLOOKUP(E2,'Patient Information'!1:65535,9)&amp;" mg","None"))),"")</f>
        <v/>
      </c>
      <c r="E15" s="164">
        <f>IF(References!I3+References!I5&gt;=8,IF(ISTEXT(A15)=TRUE(),"Previous Dose",IF(References!I3+References!I5=8,"As Directed",IF(References!I2-A15&gt;=1,"None","Previous Dose"))),"")</f>
        <v/>
      </c>
      <c r="F15" s="164">
        <f>IF(A15=References!I4=TRUE(),"INR + CBC at "&amp;VLOOKUP(E2,'Patient Information'!1:65535,7),"")</f>
        <v/>
      </c>
    </row>
    <row r="16" ht="15.75" customHeight="1" s="89">
      <c r="A16" s="165">
        <f>IF(ISNA(References!I3)=TRUE(),"",IF(References!I3=9,"SURGERY "&amp;TEXT(References!I2, "m/dd/yyyy"),IF(References!I3+References!I5&gt;=9,A7+9,"")))</f>
        <v/>
      </c>
      <c r="B16" s="166">
        <f>TEXT(RIGHT(A16,9), "dddd")</f>
        <v/>
      </c>
      <c r="C16" s="167">
        <f>IF(References!I3+References!I5&gt;=9,IF(ISTEXT(A16)=TRUE(),"None",IF(References!I2-A16=1,IF(VLOOKUP(E2,'Patient Information'!1:65535,10)="Once",(References!L1/2)&amp;" mg (half-dose)",References!L1&amp;" mg"),References!L1&amp;" mg")),"")</f>
        <v/>
      </c>
      <c r="D16" s="167">
        <f>IF(References!I3+References!I5&gt;=9,IF(ISTEXT(A16)=TRUE(),"None",IF(A16+1=References!I2,"None",IF(VLOOKUP(E2,'Patient Information'!1:65535,10)="Twice",VLOOKUP(E2,'Patient Information'!1:65535,9)&amp;" mg","None"))),"")</f>
        <v/>
      </c>
      <c r="E16" s="167">
        <f>IF(References!I3+References!I5&gt;=9,IF(ISTEXT(A16)=TRUE(),"Previous Dose",IF(References!I3+References!I5=9,"As Directed",IF(References!I2-A16&gt;=1,"None","Previous Dose"))),"")</f>
        <v/>
      </c>
      <c r="F16" s="167">
        <f>IF(A16=References!I4=TRUE(),"INR + CBC at "&amp;VLOOKUP(E2,'Patient Information'!1:65535,7),"")</f>
        <v/>
      </c>
    </row>
    <row r="17" ht="15.75" customHeight="1" s="89">
      <c r="A17" s="162">
        <f>IF(ISNA(References!I3)=TRUE(),"",IF(References!I3=10,"SURGERY "&amp;TEXT(References!I2, "m/dd/yyyy"),IF(References!I3+References!I5&gt;=10,A7+10,"")))</f>
        <v/>
      </c>
      <c r="B17" s="163">
        <f>TEXT(RIGHT(A17,9), "dddd")</f>
        <v/>
      </c>
      <c r="C17" s="164">
        <f>IF(References!I3+References!I5&gt;=10,IF(ISTEXT(A17)=TRUE(),"None",IF(References!I2-A17=1,IF(VLOOKUP(E2,'Patient Information'!1:65535,10)="Once",(References!L1/2)&amp;" mg (half-dose)",References!L1&amp;" mg"),References!L1&amp;" mg")),"")</f>
        <v/>
      </c>
      <c r="D17" s="164">
        <f>IF(References!I3+References!I5&gt;=10,IF(ISTEXT(A17)=TRUE(),"None",IF(A17+1=References!I2,"None",IF(VLOOKUP(E2,'Patient Information'!1:65535,10)="Twice",VLOOKUP(E2,'Patient Information'!1:65535,9)&amp;" mg","None"))),"")</f>
        <v/>
      </c>
      <c r="E17" s="164">
        <f>IF(References!I3+References!I5&gt;=10,IF(ISTEXT(A16)=TRUE(),"Previous Dose",IF(References!I3+References!I5=10,"As Directed",IF(References!I2-A17&gt;=1,"None","Previous Dose"))),"")</f>
        <v/>
      </c>
      <c r="F17" s="164">
        <f>IF(A17=References!I4=TRUE(),"INR + CBC at "&amp;VLOOKUP(E2,'Patient Information'!1:65535,7),"")</f>
        <v/>
      </c>
    </row>
    <row r="18" ht="15.75" customHeight="1" s="89">
      <c r="A18" s="165">
        <f>IF(ISNA(References!I3)=TRUE(),"",IF(References!I3=11,"SURGERY "&amp;TEXT(References!I2,"m/dd/yyyy"),IF(References!I3+References!I5&gt;=11,A7+11,"")))</f>
        <v/>
      </c>
      <c r="B18" s="166">
        <f>TEXT(RIGHT(A18,9), "dddd")</f>
        <v/>
      </c>
      <c r="C18" s="167">
        <f>IF(References!I3+References!I5&gt;=11,IF(ISTEXT(A18)=TRUE(),"None",IF(References!I2-A18=1,IF(VLOOKUP(E2,'Patient Information'!1:65535,10)="Once",(References!L1/2)&amp;" mg (half-dose)",References!L1&amp;" mg"),References!L1&amp;" mg")),"")</f>
        <v/>
      </c>
      <c r="D18" s="167">
        <f>IF(References!I3+References!I5&gt;=11,IF(ISTEXT(A18)=TRUE(),"None",IF(A18+1=References!I2,"None",IF(VLOOKUP(E2,'Patient Information'!1:65535,10)="Twice",VLOOKUP(E2,'Patient Information'!1:65535,9)&amp;" mg","None"))),"")</f>
        <v/>
      </c>
      <c r="E18" s="167">
        <f>IF(References!I3+References!I5&gt;=11,IF(ISTEXT(A18)=TRUE(),"Previous Dose",IF(References!I3+References!I5=11,"As Directed",IF(References!I2-A18&gt;=1,"None","Previous Dose"))),"")</f>
        <v/>
      </c>
      <c r="F18" s="167">
        <f>IF(A18=References!I4=TRUE(),"INR + CBC at "&amp;VLOOKUP(E2,'Patient Information'!1:65535,7),"")</f>
        <v/>
      </c>
    </row>
    <row r="19" ht="15.75" customHeight="1" s="89">
      <c r="A19" s="162">
        <f>IF(ISNA(References!I3)=TRUE(),"",IF(References!I3=12,"SURGERY "&amp;TEXT(References!I2, "m/dd/yyyy"),IF(References!I3+References!I5&gt;=12,A7+12,"")))</f>
        <v/>
      </c>
      <c r="B19" s="163">
        <f>TEXT(RIGHT(A19,9), "dddd")</f>
        <v/>
      </c>
      <c r="C19" s="164">
        <f>IF(References!I3+References!I5&gt;=12,IF(ISTEXT(A19)=TRUE(),"None",IF(References!I2-A19=1,IF(VLOOKUP(E2,'Patient Information'!1:65535,10)="Once",(References!L1/2)&amp;" mg (half-dose)",References!L1&amp;" mg"),References!L1&amp;" mg")),"")</f>
        <v/>
      </c>
      <c r="D19" s="164">
        <f>IF(References!I3+References!I5&gt;=12,IF(ISTEXT(A19)=TRUE(),"None",IF(A19+1=References!I2,"None",IF(VLOOKUP(E2,'Patient Information'!1:65535,10)="Twice",VLOOKUP(E2,'Patient Information'!1:65535,9)&amp;" mg","None"))),"")</f>
        <v/>
      </c>
      <c r="E19" s="164">
        <f>IF(References!I3+References!I5&gt;=12,IF(ISTEXT(A19)=TRUE(),"Previous Dose",IF(References!I3+References!I5=12,"As Directed",IF(References!I2-A19&gt;=1,"None","Previous Dose"))),"")</f>
        <v/>
      </c>
      <c r="F19" s="164">
        <f>IF(A19=References!I4=TRUE(),"INR + CBC at "&amp;VLOOKUP(E2,'Patient Information'!1:65535,7),"")</f>
        <v/>
      </c>
    </row>
    <row r="20" ht="15.75" customHeight="1" s="89">
      <c r="A20" s="165">
        <f>IF(ISNA(References!I3)=TRUE(),"",IF(References!I3=13,"SURGERY "&amp;TEXT(References!I2, "m/dd/yyyy"),IF(References!I3+References!I5&gt;=13,A7+13,"")))</f>
        <v/>
      </c>
      <c r="B20" s="166">
        <f>TEXT(RIGHT(A20,9), "dddd")</f>
        <v/>
      </c>
      <c r="C20" s="167">
        <f>IF(References!I3+References!I5&gt;=13,IF(ISTEXT(A20)=TRUE(),"None",IF(References!I2-A20=1,IF(VLOOKUP(E2,'Patient Information'!1:65535,10)="Once",(References!L1/2)&amp;" mg (half-dose)",References!L1&amp;" mg"),References!L1&amp;" mg")),"")</f>
        <v/>
      </c>
      <c r="D20" s="167">
        <f>IF(References!I3+References!I5&gt;=13,IF(ISTEXT(A20)=TRUE(),"None",IF(A20+1=References!I2,"None",IF(VLOOKUP(E2,'Patient Information'!1:65535,10)="Twice",VLOOKUP(E2,'Patient Information'!1:65535,9)&amp;" mg","None"))),"")</f>
        <v/>
      </c>
      <c r="E20" s="167">
        <f>IF(References!I3+References!I5&gt;=13,IF(ISTEXT(A20)=TRUE(),"Previous Dose",IF(References!I3+References!I5=13,"As Directed",IF(References!I2-A20&gt;=1,"None","Previous Dose"))),"")</f>
        <v/>
      </c>
      <c r="F20" s="167">
        <f>IF(A20=References!I4=TRUE(),"INR + CBC at "&amp;VLOOKUP(E2,'Patient Information'!1:65535,7),"")</f>
        <v/>
      </c>
    </row>
    <row r="21" ht="15.75" customHeight="1" s="89">
      <c r="A21" s="168" t="inlineStr">
        <is>
          <t>**Continue Lovenox until therapeutic one time</t>
        </is>
      </c>
    </row>
    <row r="22" ht="15.75" customHeight="1" s="89">
      <c r="A22" s="169" t="n"/>
      <c r="B22" s="169" t="n"/>
      <c r="C22" s="170" t="n"/>
      <c r="D22" s="170" t="n"/>
      <c r="E22" s="170" t="n"/>
      <c r="F22" s="170" t="n"/>
    </row>
    <row r="23" ht="15.75" customHeight="1" s="89">
      <c r="A23" s="168">
        <f>IF(References!L1=References!L2=TRUE(),"**Lovenox does come in "&amp;References!L1&amp;"mg, they will be dispensed in "&amp;VLOOKUP(References!L1,References!H8:I14,2,FALSE())&amp;" mL syringes - Ask the pharmacist at the pharmacy to show you the "&amp;VLOOKUP(References!L1,References!H8:I14,2)&amp;"mL syringe","**Lovenox syringes do not come in "&amp;References!L1&amp;"mg, they will be dispensed in "&amp;References!L2&amp;"mg syringes - you will only use part of the syringe for each injection: "&amp;ROUND(References!L1*VLOOKUP(References!L2,References!H8:I14,2)/References!L2,2)&amp;"mL - Ask the pharmacist at the pharmacy to show you how much "&amp;ROUND(References!L1*VLOOKUP(References!L2,References!H8:I14,2)/References!L2,2)&amp;" mL is on the syringe.")</f>
        <v/>
      </c>
    </row>
    <row r="24" ht="15.75" customHeight="1" s="89"/>
    <row r="25" ht="15.75" customHeight="1" s="89"/>
    <row r="26" ht="15.75" customHeight="1" s="89"/>
    <row r="27" ht="15.75" customHeight="1" s="89">
      <c r="A27" s="171">
        <f>"Prepared by "&amp;VLOOKUP(E2,'Patient Information'!1:65535,12)</f>
        <v/>
      </c>
      <c r="F27" s="170" t="n"/>
    </row>
    <row r="28" ht="15.75" customHeight="1" s="89">
      <c r="A28" s="172" t="n"/>
      <c r="B28" s="172" t="n"/>
      <c r="C28" s="173" t="n"/>
      <c r="D28" s="173" t="n"/>
      <c r="E28" s="173" t="n"/>
      <c r="F28" s="173" t="n"/>
    </row>
    <row r="29" ht="15.75" customHeight="1" s="89">
      <c r="A29" s="174" t="n"/>
      <c r="B29" s="174" t="n"/>
      <c r="C29" s="173" t="n"/>
      <c r="D29" s="173" t="n"/>
      <c r="E29" s="173" t="n"/>
      <c r="F29" s="173" t="n"/>
    </row>
    <row r="30" ht="15.75" customHeight="1" s="89">
      <c r="A30" s="174" t="n"/>
      <c r="B30" s="174" t="n"/>
      <c r="C30" s="173" t="n"/>
      <c r="D30" s="173" t="n"/>
      <c r="E30" s="173" t="n"/>
      <c r="F30" s="173" t="n"/>
    </row>
    <row r="31" ht="15.75" customHeight="1" s="89">
      <c r="A31" s="175" t="n"/>
      <c r="B31" s="150" t="n"/>
    </row>
    <row r="32" ht="15.75" customHeight="1" s="89">
      <c r="A32" s="172" t="n"/>
      <c r="B32" s="150" t="n"/>
    </row>
    <row r="33" ht="15.75" customHeight="1" s="89">
      <c r="A33" s="175" t="n"/>
      <c r="B33" s="150" t="n"/>
    </row>
    <row r="34" ht="15.75" customHeight="1" s="89">
      <c r="A34" s="172" t="n"/>
    </row>
  </sheetData>
  <sheetProtection selectLockedCells="0" selectUnlockedCells="0" sheet="1" objects="0" insertRows="1" insertHyperlinks="1" autoFilter="1" scenarios="0" formatColumns="1" deleteColumns="1" insertColumns="1" pivotTables="1" deleteRows="1" formatCells="1" formatRows="1" sort="1"/>
  <mergeCells count="7">
    <mergeCell ref="A5:A6"/>
    <mergeCell ref="C5:D5"/>
    <mergeCell ref="A23:F26"/>
    <mergeCell ref="A3:F3"/>
    <mergeCell ref="A21:F21"/>
    <mergeCell ref="B5:B6"/>
    <mergeCell ref="A27:E27"/>
  </mergeCells>
  <conditionalFormatting sqref="A7:F20">
    <cfRule type="expression" rank="0" priority="2" equalAverage="0" aboveAverage="0" dxfId="6" text="" percent="0" bottom="0">
      <formula>LEFT($A7,7)="SURGERY"</formula>
    </cfRule>
  </conditionalFormatting>
  <printOptions horizontalCentered="0" verticalCentered="0" headings="0" gridLines="0" gridLinesSet="1"/>
  <pageMargins left="0.4" right="0.4" top="0.4" bottom="0.4"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L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36" activeCellId="0" sqref="C36"/>
    </sheetView>
  </sheetViews>
  <sheetFormatPr baseColWidth="8" defaultColWidth="8.83203125" defaultRowHeight="15" customHeight="0" zeroHeight="0" outlineLevelRow="0"/>
  <cols>
    <col width="20.16" customWidth="1" style="176" min="1" max="2"/>
    <col width="14.52" customWidth="1" style="176" min="4" max="4"/>
    <col width="19" customWidth="1" style="176" min="8" max="8"/>
    <col width="10.16" customWidth="1" style="176" min="9" max="9"/>
    <col width="5.52" customWidth="1" style="176" min="10" max="10"/>
    <col width="13.5" customWidth="1" style="176" min="11" max="11"/>
    <col width="4.5" customWidth="1" style="176" min="12" max="12"/>
  </cols>
  <sheetData>
    <row r="1" ht="15.75" customHeight="1" s="89">
      <c r="A1" s="177" t="inlineStr">
        <is>
          <t>lower end of range</t>
        </is>
      </c>
      <c r="B1" s="177" t="inlineStr">
        <is>
          <t>Next syringe size</t>
        </is>
      </c>
      <c r="D1" s="177" t="inlineStr">
        <is>
          <t>Male/Female:</t>
        </is>
      </c>
      <c r="F1" s="178" t="inlineStr">
        <is>
          <t>Once</t>
        </is>
      </c>
      <c r="H1" s="177" t="inlineStr">
        <is>
          <t>Total Lovenox dose:</t>
        </is>
      </c>
      <c r="I1" s="177">
        <f>IF(VLOOKUP('Bridge Plan Printout'!E2,'Patient Information'!1:65535,10)="Twice",VLOOKUP('Bridge Plan Printout'!E2,'Patient Information'!1:65535,9)*2,VLOOKUP('Bridge Plan Printout'!E2,'Patient Information'!1:65535,9))</f>
        <v/>
      </c>
      <c r="J1" s="179" t="n"/>
      <c r="K1" s="177" t="inlineStr">
        <is>
          <t>Single dose:</t>
        </is>
      </c>
      <c r="L1" s="177">
        <f>VLOOKUP('Bridge Plan Printout'!E2,'Patient Information'!1:65535,9)</f>
        <v/>
      </c>
    </row>
    <row r="2" ht="15.75" customHeight="1" s="89">
      <c r="A2" s="180" t="n">
        <v>0</v>
      </c>
      <c r="B2" s="180" t="n">
        <v>30</v>
      </c>
      <c r="D2" s="180" t="inlineStr">
        <is>
          <t>Male</t>
        </is>
      </c>
      <c r="F2" s="181" t="inlineStr">
        <is>
          <t>Twice</t>
        </is>
      </c>
      <c r="H2" s="180" t="inlineStr">
        <is>
          <t>Surgery Date:</t>
        </is>
      </c>
      <c r="I2" s="182">
        <f>VLOOKUP('Bridge Plan Printout'!E2,'Patient Information'!1:65535,5)</f>
        <v/>
      </c>
      <c r="J2" s="183" t="n"/>
      <c r="K2" s="180" t="inlineStr">
        <is>
          <t>Next available</t>
        </is>
      </c>
      <c r="L2" s="180">
        <f>VLOOKUP('Bridge Plan Printout'!E2,'Patient Information'!1:65535,11)</f>
        <v/>
      </c>
    </row>
    <row r="3" ht="15.75" customHeight="1" s="89">
      <c r="A3" s="180" t="n">
        <v>31</v>
      </c>
      <c r="B3" s="180" t="n">
        <v>40</v>
      </c>
      <c r="D3" s="180" t="inlineStr">
        <is>
          <t>Female</t>
        </is>
      </c>
      <c r="H3" s="180" t="inlineStr">
        <is>
          <t>Days before surg</t>
        </is>
      </c>
      <c r="I3" s="180">
        <f>VLOOKUP('Bridge Plan Printout'!E2,'Patient Information'!1:65535,5)-VLOOKUP('Bridge Plan Printout'!E2,'Patient Information'!1:65535,4)</f>
        <v/>
      </c>
      <c r="J3" s="149" t="n"/>
      <c r="K3" s="149" t="n"/>
      <c r="L3" s="149" t="n"/>
    </row>
    <row r="4" ht="15.75" customHeight="1" s="89">
      <c r="A4" s="180" t="n">
        <v>41</v>
      </c>
      <c r="B4" s="180" t="n">
        <v>60</v>
      </c>
      <c r="H4" s="180" t="inlineStr">
        <is>
          <t>Lab Date</t>
        </is>
      </c>
      <c r="I4" s="182">
        <f>VLOOKUP('Bridge Plan Printout'!E2,'Patient Information'!1:65535,6)</f>
        <v/>
      </c>
      <c r="J4" s="184" t="n"/>
      <c r="K4" s="149" t="n"/>
      <c r="L4" s="149" t="n"/>
    </row>
    <row r="5" ht="15.75" customHeight="1" s="89">
      <c r="A5" s="180" t="n">
        <v>61</v>
      </c>
      <c r="B5" s="180" t="n">
        <v>80</v>
      </c>
      <c r="H5" s="180" t="inlineStr">
        <is>
          <t>Days after surg</t>
        </is>
      </c>
      <c r="I5" s="185">
        <f>VLOOKUP('Bridge Plan Printout'!E2,'Patient Information'!1:65535,6)-VLOOKUP('Bridge Plan Printout'!E2,'Patient Information'!1:65535,5)</f>
        <v/>
      </c>
      <c r="J5" s="186" t="n"/>
      <c r="K5" s="149" t="n"/>
      <c r="L5" s="149" t="n"/>
    </row>
    <row r="6" ht="15.75" customHeight="1" s="89">
      <c r="A6" s="180" t="n">
        <v>81</v>
      </c>
      <c r="B6" s="180" t="n">
        <v>100</v>
      </c>
      <c r="H6" s="149" t="n"/>
      <c r="I6" s="149" t="n"/>
      <c r="J6" s="149" t="n"/>
      <c r="K6" s="149" t="n"/>
      <c r="L6" s="149" t="n"/>
    </row>
    <row r="7" ht="15.75" customHeight="1" s="89">
      <c r="A7" s="180" t="n">
        <v>101</v>
      </c>
      <c r="B7" s="180" t="n">
        <v>120</v>
      </c>
      <c r="H7" s="180" t="inlineStr">
        <is>
          <t>Lovenox Dose</t>
        </is>
      </c>
      <c r="I7" s="180" t="inlineStr">
        <is>
          <t>ML</t>
        </is>
      </c>
      <c r="J7" s="149" t="n"/>
      <c r="K7" s="149" t="n"/>
      <c r="L7" s="149" t="n"/>
    </row>
    <row r="8" ht="15.75" customHeight="1" s="89">
      <c r="A8" s="180" t="n">
        <v>121</v>
      </c>
      <c r="B8" s="180" t="n">
        <v>150</v>
      </c>
      <c r="H8" s="180" t="n">
        <v>30</v>
      </c>
      <c r="I8" s="180" t="n">
        <v>0.3</v>
      </c>
      <c r="J8" s="149" t="n"/>
      <c r="K8" s="149" t="n"/>
      <c r="L8" s="149" t="n"/>
    </row>
    <row r="9" ht="15.75" customHeight="1" s="89">
      <c r="A9" s="180" t="n">
        <v>151</v>
      </c>
      <c r="B9" s="180" t="n">
        <v>300</v>
      </c>
      <c r="H9" s="180" t="n">
        <v>40</v>
      </c>
      <c r="I9" s="180" t="n">
        <v>0.4</v>
      </c>
      <c r="J9" s="149" t="n"/>
      <c r="K9" s="149" t="n"/>
      <c r="L9" s="149" t="n"/>
    </row>
    <row r="10" ht="15.75" customHeight="1" s="89">
      <c r="H10" s="180" t="n">
        <v>60</v>
      </c>
      <c r="I10" s="180" t="n">
        <v>0.6</v>
      </c>
      <c r="J10" s="149" t="n"/>
      <c r="K10" s="149" t="n"/>
      <c r="L10" s="149" t="n"/>
    </row>
    <row r="11" ht="15.75" customHeight="1" s="89">
      <c r="H11" s="180" t="n">
        <v>80</v>
      </c>
      <c r="I11" s="180" t="n">
        <v>0.8</v>
      </c>
      <c r="J11" s="149" t="n"/>
      <c r="K11" s="149" t="n"/>
      <c r="L11" s="149" t="n"/>
    </row>
    <row r="12" ht="15.75" customHeight="1" s="89">
      <c r="H12" s="180" t="n">
        <v>100</v>
      </c>
      <c r="I12" s="180" t="n">
        <v>1</v>
      </c>
      <c r="J12" s="149" t="n"/>
      <c r="K12" s="149" t="n"/>
      <c r="L12" s="149" t="n"/>
    </row>
    <row r="13" ht="15.75" customHeight="1" s="89">
      <c r="H13" s="180" t="n">
        <v>120</v>
      </c>
      <c r="I13" s="180" t="n">
        <v>0.8</v>
      </c>
      <c r="J13" s="149" t="n"/>
      <c r="K13" s="149" t="n"/>
      <c r="L13" s="149" t="n"/>
    </row>
    <row r="14" ht="15.75" customHeight="1" s="89">
      <c r="H14" s="180" t="n">
        <v>150</v>
      </c>
      <c r="I14" s="180" t="n">
        <v>1</v>
      </c>
      <c r="J14" s="149" t="n"/>
      <c r="K14" s="149" t="n"/>
      <c r="L14" s="149" t="n"/>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 right="0.7" top="0.75" bottom="0.75"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Lewis, Jonathan M</dc:creator>
  <dc:language xmlns:dc="http://purl.org/dc/elements/1.1/">en-US</dc:language>
  <dcterms:created xmlns:dcterms="http://purl.org/dc/terms/" xmlns:xsi="http://www.w3.org/2001/XMLSchema-instance" xsi:type="dcterms:W3CDTF">2024-07-23T19:24:35Z</dcterms:created>
  <dcterms:modified xmlns:dcterms="http://purl.org/dc/terms/" xmlns:xsi="http://www.w3.org/2001/XMLSchema-instance" xsi:type="dcterms:W3CDTF">2026-08-04T16:41:11Z</dcterms:modified>
  <cp:lastModifiedBy>Andrew Tran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0x010100D69A41DE3A9E6041A9CA94F3DD85C862</vt:lpwstr>
  </property>
</Properties>
</file>